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方案主数据" sheetId="1" r:id="rId1"/>
    <sheet name="风险分组配置" sheetId="2" r:id="rId2"/>
    <sheet name="阶段规则" sheetId="3" r:id="rId3"/>
    <sheet name="PD曲线矩阵" sheetId="4" r:id="rId4"/>
    <sheet name="LGD配置" sheetId="5" r:id="rId5"/>
    <sheet name="CCF曲线" sheetId="6" r:id="rId6"/>
    <sheet name="叠加规则" sheetId="7" r:id="rId7"/>
    <sheet name="试算输入数据" sheetId="8" r:id="rId8"/>
    <sheet name="试算预期结果" sheetId="9" r:id="rId9"/>
  </sheets>
  <calcPr calcId="124519" fullCalcOnLoad="1"/>
</workbook>
</file>

<file path=xl/sharedStrings.xml><?xml version="1.0" encoding="utf-8"?>
<sst xmlns="http://schemas.openxmlformats.org/spreadsheetml/2006/main" count="760" uniqueCount="351">
  <si>
    <t>ECL_2026Q2_完整验证方案 — 主数据</t>
  </si>
  <si>
    <t>参数名称</t>
  </si>
  <si>
    <t>参数值</t>
  </si>
  <si>
    <t>说明</t>
  </si>
  <si>
    <t>方案名称</t>
  </si>
  <si>
    <t>2026Q2 完整验证方案</t>
  </si>
  <si>
    <t>覆盖全部功能的全链路验证方案</t>
  </si>
  <si>
    <t>方案版本</t>
  </si>
  <si>
    <t>v1.0</t>
  </si>
  <si>
    <t>初始版本</t>
  </si>
  <si>
    <t>方案编码</t>
  </si>
  <si>
    <t>SCH_2026Q2</t>
  </si>
  <si>
    <t>业务编码</t>
  </si>
  <si>
    <t>状态</t>
  </si>
  <si>
    <t>EFFECTIVE</t>
  </si>
  <si>
    <t>已生效</t>
  </si>
  <si>
    <t>折现率 (discount_rate)</t>
  </si>
  <si>
    <t>0.0500 (5.00%)</t>
  </si>
  <si>
    <t>用于 EAD 未来现金流折现</t>
  </si>
  <si>
    <t>缺省 CCF (default_ccf)</t>
  </si>
  <si>
    <t>0.5000 (50.00%)</t>
  </si>
  <si>
    <t>未配置 CCF 曲线时的缺省值</t>
  </si>
  <si>
    <t>缺省 LGD (default_lgd)</t>
  </si>
  <si>
    <t>0.4500 (45.00%)</t>
  </si>
  <si>
    <t>未配置 LGD 曲线时的缺省值</t>
  </si>
  <si>
    <t>LGD 下限 (lgd_floor)</t>
  </si>
  <si>
    <t>0.1000 (10.00%)</t>
  </si>
  <si>
    <t>抵押池覆盖部分的 LGD 下限</t>
  </si>
  <si>
    <t>生效日期</t>
  </si>
  <si>
    <t>2026-07-01</t>
  </si>
  <si>
    <t>方案生效起始日</t>
  </si>
  <si>
    <t>风险分组及明细规则</t>
  </si>
  <si>
    <t>分组编码</t>
  </si>
  <si>
    <t>分组名称</t>
  </si>
  <si>
    <t>优先级</t>
  </si>
  <si>
    <t>segment</t>
  </si>
  <si>
    <t>productType</t>
  </si>
  <si>
    <t>industryCode</t>
  </si>
  <si>
    <t>collateralType</t>
  </si>
  <si>
    <t>匹配说明</t>
  </si>
  <si>
    <t>GRP_CORP</t>
  </si>
  <si>
    <t>对公企业贷款</t>
  </si>
  <si>
    <t>对公</t>
  </si>
  <si>
    <t>LC</t>
  </si>
  <si>
    <t>不动产</t>
  </si>
  <si>
    <t>对公+LC+不动产</t>
  </si>
  <si>
    <t>IL</t>
  </si>
  <si>
    <t>对公+IL(通配担保)</t>
  </si>
  <si>
    <t>ST</t>
  </si>
  <si>
    <t>保证</t>
  </si>
  <si>
    <t>对公+ST+保证</t>
  </si>
  <si>
    <t>对公通配(兜底)</t>
  </si>
  <si>
    <t>GRP_RETAIL</t>
  </si>
  <si>
    <t>零售个人贷款</t>
  </si>
  <si>
    <t>零售</t>
  </si>
  <si>
    <t>PL</t>
  </si>
  <si>
    <t>零售+PL通配</t>
  </si>
  <si>
    <t>零售通配(兜底)</t>
  </si>
  <si>
    <t>GRP_SME</t>
  </si>
  <si>
    <t>小微信贷</t>
  </si>
  <si>
    <t>小微</t>
  </si>
  <si>
    <t>小微通配</t>
  </si>
  <si>
    <t>全通配(最终兜底)</t>
  </si>
  <si>
    <t>FORWARD + ROLLBACK 规则 + CRR 评级下降规则</t>
  </si>
  <si>
    <t>分组</t>
  </si>
  <si>
    <t>规则类型</t>
  </si>
  <si>
    <t>stageFrom</t>
  </si>
  <si>
    <t>stageTo</t>
  </si>
  <si>
    <t>条件(JSON)</t>
  </si>
  <si>
    <t>FORWARD</t>
  </si>
  <si>
    <t>STAGE_3</t>
  </si>
  <si>
    <t>{"five_category":{"in":["次级","可疑","损失"]}}</t>
  </si>
  <si>
    <t>五级分类不良→STAGE3</t>
  </si>
  <si>
    <t>{"default_flag":true}</t>
  </si>
  <si>
    <t>违约标识→STAGE3</t>
  </si>
  <si>
    <t>STAGE_2</t>
  </si>
  <si>
    <t>{"overdue_days":{"min":31,"max":90}}</t>
  </si>
  <si>
    <t>逾期31-90天→STAGE2</t>
  </si>
  <si>
    <t>STAGE_1</t>
  </si>
  <si>
    <t>{"default":true}</t>
  </si>
  <si>
    <t>兜底→STAGE1</t>
  </si>
  <si>
    <t>{"crr_drop":true}</t>
  </si>
  <si>
    <t>CRR评级下降→STAGE2</t>
  </si>
  <si>
    <t>{"overdue_days":{"min":91}}</t>
  </si>
  <si>
    <t>逾期≥91天→STAGE3</t>
  </si>
  <si>
    <t>ROLLBACK</t>
  </si>
  <si>
    <t>{"normal_consecutive_days":{"min":91}}</t>
  </si>
  <si>
    <t>正常连续≥91天可回跳</t>
  </si>
  <si>
    <t>{"overdue_days":{"max":30},"normal_consecutive_days":{"min":91}}</t>
  </si>
  <si>
    <t>逾期≤30+正常连续≥91天</t>
  </si>
  <si>
    <t>{"overdue_days":{"max":0},"normal_consecutive_days":{"min":181}}</t>
  </si>
  <si>
    <t>无逾期+正常连续≥181天</t>
  </si>
  <si>
    <t>{"overdue_days":{"max":15},"normal_consecutive_days":{"min":61}}</t>
  </si>
  <si>
    <t>逾期≤15天+正常连续≥61天</t>
  </si>
  <si>
    <t>CRR 评级下降规则（仅 GRP_RETAIL）</t>
  </si>
  <si>
    <t>评级机构</t>
  </si>
  <si>
    <t>当前评级</t>
  </si>
  <si>
    <t>下降阈值</t>
  </si>
  <si>
    <t>INTERNAL_CRR</t>
  </si>
  <si>
    <t>CRR5</t>
  </si>
  <si>
    <t>如CRR3→CRR5下降≥2级触发</t>
  </si>
  <si>
    <t>CRR6</t>
  </si>
  <si>
    <t>如CRR4→CRR6下降≥2级触发</t>
  </si>
  <si>
    <t>CRR7</t>
  </si>
  <si>
    <t>如CRR6→CRR7下降≥1级触发</t>
  </si>
  <si>
    <t>CRR8</t>
  </si>
  <si>
    <t>如CRR7→CRR8下降≥1级触发</t>
  </si>
  <si>
    <t>PD 情景曲线矩阵 （BASELINE权重0.5 / UPTURN权重0.2 / DOWNTURN权重0.3）</t>
  </si>
  <si>
    <t>评级代码</t>
  </si>
  <si>
    <t>BASELINE</t>
  </si>
  <si>
    <t>UPTURN</t>
  </si>
  <si>
    <t>DOWNTURN</t>
  </si>
  <si>
    <t>CRR1</t>
  </si>
  <si>
    <t>投资级</t>
  </si>
  <si>
    <t>CRR2</t>
  </si>
  <si>
    <t>CRR3</t>
  </si>
  <si>
    <t>优质客户</t>
  </si>
  <si>
    <t>CRR4</t>
  </si>
  <si>
    <t>标准客户</t>
  </si>
  <si>
    <t>关注</t>
  </si>
  <si>
    <t>违约边缘</t>
  </si>
  <si>
    <t>穆迪</t>
  </si>
  <si>
    <t>Aaa</t>
  </si>
  <si>
    <t>穆迪Aaa</t>
  </si>
  <si>
    <t>Aa2</t>
  </si>
  <si>
    <t>A1</t>
  </si>
  <si>
    <t>A3</t>
  </si>
  <si>
    <t>Baa2</t>
  </si>
  <si>
    <t>投资级下限</t>
  </si>
  <si>
    <t>Ba1</t>
  </si>
  <si>
    <t>B1</t>
  </si>
  <si>
    <t>B3</t>
  </si>
  <si>
    <t>Caa1</t>
  </si>
  <si>
    <t>C</t>
  </si>
  <si>
    <t>违约</t>
  </si>
  <si>
    <t>LGD 基础曲线</t>
  </si>
  <si>
    <t>担保类型</t>
  </si>
  <si>
    <t>产品类型</t>
  </si>
  <si>
    <t>LGD基础值</t>
  </si>
  <si>
    <t>信用</t>
  </si>
  <si>
    <t>NONE</t>
  </si>
  <si>
    <t>CL</t>
  </si>
  <si>
    <t>抵押</t>
  </si>
  <si>
    <t>ML</t>
  </si>
  <si>
    <t>押品折扣率</t>
  </si>
  <si>
    <t>押品类别</t>
  </si>
  <si>
    <t>押品类型</t>
  </si>
  <si>
    <t>折扣率</t>
  </si>
  <si>
    <t>房产</t>
  </si>
  <si>
    <t>厂房</t>
  </si>
  <si>
    <t>土地</t>
  </si>
  <si>
    <t>动产</t>
  </si>
  <si>
    <t>设备</t>
  </si>
  <si>
    <t>车辆</t>
  </si>
  <si>
    <t>存货</t>
  </si>
  <si>
    <t>金融资产</t>
  </si>
  <si>
    <t>存单</t>
  </si>
  <si>
    <t>国债</t>
  </si>
  <si>
    <t>票据</t>
  </si>
  <si>
    <t>保证类</t>
  </si>
  <si>
    <t>押品折旧率</t>
  </si>
  <si>
    <t>年偏移</t>
  </si>
  <si>
    <t>折旧率</t>
  </si>
  <si>
    <t>CCF 曲线配置</t>
  </si>
  <si>
    <t>承诺类型</t>
  </si>
  <si>
    <t>天数下限</t>
  </si>
  <si>
    <t>天数上限</t>
  </si>
  <si>
    <t>CCF值</t>
  </si>
  <si>
    <t>不可撤销</t>
  </si>
  <si>
    <t>信用证1年以内</t>
  </si>
  <si>
    <t>信用证1年以上</t>
  </si>
  <si>
    <t>可撤销</t>
  </si>
  <si>
    <t>可撤销CCF=0</t>
  </si>
  <si>
    <t>中长期贷款</t>
  </si>
  <si>
    <t>短期融资180天内</t>
  </si>
  <si>
    <t>短期融资180天以上</t>
  </si>
  <si>
    <t>个人贷款1年以内</t>
  </si>
  <si>
    <t>个人贷款1年以上</t>
  </si>
  <si>
    <t>小微贷款</t>
  </si>
  <si>
    <t>管理层叠加规则配置</t>
  </si>
  <si>
    <t>规则编号</t>
  </si>
  <si>
    <t>叠加类型</t>
  </si>
  <si>
    <t>调整类型</t>
  </si>
  <si>
    <t>调整值</t>
  </si>
  <si>
    <t>生效日</t>
  </si>
  <si>
    <t>失效日</t>
  </si>
  <si>
    <t>条件</t>
  </si>
  <si>
    <t>OV-01</t>
  </si>
  <si>
    <t>(全局)</t>
  </si>
  <si>
    <t>GLOBAL</t>
  </si>
  <si>
    <t>ADDBP</t>
  </si>
  <si>
    <t>2026-01-01</t>
  </si>
  <si>
    <t>全局加30BP</t>
  </si>
  <si>
    <t>OV-02</t>
  </si>
  <si>
    <t>PERCENTAGE</t>
  </si>
  <si>
    <t>{"or":[{"overdue_days":{"min":91}},{"five_category":{"in":["次级","可疑","损失"]}}]}</t>
  </si>
  <si>
    <t>高风险+5%</t>
  </si>
  <si>
    <t>OV-03</t>
  </si>
  <si>
    <t>GROUP</t>
  </si>
  <si>
    <t>FIXED</t>
  </si>
  <si>
    <t>2026-12-31</t>
  </si>
  <si>
    <t>{"five_category":"关注"}</t>
  </si>
  <si>
    <t>关注类固定+5000</t>
  </si>
  <si>
    <t>OV-04</t>
  </si>
  <si>
    <t>{"industry_codes":["K","L"]}</t>
  </si>
  <si>
    <t>房地产/建筑+100BP</t>
  </si>
  <si>
    <t>OV-05</t>
  </si>
  <si>
    <t>逾期31-90天+10%</t>
  </si>
  <si>
    <t>OV-06</t>
  </si>
  <si>
    <t>零售全面+50BP</t>
  </si>
  <si>
    <t>OV-07</t>
  </si>
  <si>
    <t>2026-09-30</t>
  </si>
  <si>
    <t>小微+15%(Q3)</t>
  </si>
  <si>
    <t>试算输入 — 8 笔借据（覆盖全部引擎功能）</t>
  </si>
  <si>
    <t>案例</t>
  </si>
  <si>
    <t>借据ID</t>
  </si>
  <si>
    <t>业务板块</t>
  </si>
  <si>
    <t>行业代码</t>
  </si>
  <si>
    <t>逾期天数</t>
  </si>
  <si>
    <t>五级分类</t>
  </si>
  <si>
    <t>违约标识</t>
  </si>
  <si>
    <t>CRR最终</t>
  </si>
  <si>
    <t>上年CRR</t>
  </si>
  <si>
    <t>到期日</t>
  </si>
  <si>
    <t>未偿余额</t>
  </si>
  <si>
    <t>应计利息</t>
  </si>
  <si>
    <t>授信总额</t>
  </si>
  <si>
    <t>融资本金</t>
  </si>
  <si>
    <t>业务类型</t>
  </si>
  <si>
    <t>押品池</t>
  </si>
  <si>
    <t>上期阶段</t>
  </si>
  <si>
    <t>正常连续天数</t>
  </si>
  <si>
    <t>测试重点</t>
  </si>
  <si>
    <t>C01</t>
  </si>
  <si>
    <t>AST_C01</t>
  </si>
  <si>
    <t>J</t>
  </si>
  <si>
    <t>正常</t>
  </si>
  <si>
    <t>否</t>
  </si>
  <si>
    <t>2028-06-21</t>
  </si>
  <si>
    <t>ON_BS</t>
  </si>
  <si>
    <t>正常类端到端全链路·STAGE1·还款折现EAD</t>
  </si>
  <si>
    <t>C02</t>
  </si>
  <si>
    <t>AST_C02</t>
  </si>
  <si>
    <t>F</t>
  </si>
  <si>
    <t>2027-12-31</t>
  </si>
  <si>
    <t>逾期45天→STAGE2·存续期PD·FIXED叠加</t>
  </si>
  <si>
    <t>C03</t>
  </si>
  <si>
    <t>AST_C03</t>
  </si>
  <si>
    <t>K</t>
  </si>
  <si>
    <t>损失</t>
  </si>
  <si>
    <t>是</t>
  </si>
  <si>
    <t>五级分类=损失→STAGE3·PD=100%·兜底LGD</t>
  </si>
  <si>
    <t>C04</t>
  </si>
  <si>
    <t>AST_C04</t>
  </si>
  <si>
    <t>G</t>
  </si>
  <si>
    <t>保证金</t>
  </si>
  <si>
    <t>2027-06-30</t>
  </si>
  <si>
    <t>OFF_BS</t>
  </si>
  <si>
    <t>纯表外业务·CCF计算·无表内敞口</t>
  </si>
  <si>
    <t>C05</t>
  </si>
  <si>
    <t>AST_C05</t>
  </si>
  <si>
    <t>I</t>
  </si>
  <si>
    <t>2030-01-15</t>
  </si>
  <si>
    <t>POOL_001</t>
  </si>
  <si>
    <t>CRR3→CRR5下降2级→STAGE2·抵押池LGD·零售叠加</t>
  </si>
  <si>
    <t>C06</t>
  </si>
  <si>
    <t>AST_C06</t>
  </si>
  <si>
    <t>L</t>
  </si>
  <si>
    <t>次级</t>
  </si>
  <si>
    <t>2027-03-15</t>
  </si>
  <si>
    <t>小微兜底分组·NONE路径LGD·STAGE2·PERCENTAGE叠加</t>
  </si>
  <si>
    <t>C07</t>
  </si>
  <si>
    <t>AST_C07</t>
  </si>
  <si>
    <t>2029-06-30</t>
  </si>
  <si>
    <t>STAGE2→STAGE1回跳验证·无逾期·正常连续200天</t>
  </si>
  <si>
    <t>C08</t>
  </si>
  <si>
    <t>AST_C08</t>
  </si>
  <si>
    <t>到期日=计量日边界·PD异常(需确认)</t>
  </si>
  <si>
    <t>试算预期结果（参考值，实际以引擎运算为准）</t>
  </si>
  <si>
    <t>预期分组</t>
  </si>
  <si>
    <t>预期阶段</t>
  </si>
  <si>
    <t>预估PD12M</t>
  </si>
  <si>
    <t>预估PD存续期</t>
  </si>
  <si>
    <t>预估EAD(¥)</t>
  </si>
  <si>
    <t>预估LGD</t>
  </si>
  <si>
    <t>预估ECL(¥)</t>
  </si>
  <si>
    <t>叠加方式</t>
  </si>
  <si>
    <t>叠加调整(¥)</t>
  </si>
  <si>
    <t>ECL最终(¥)</t>
  </si>
  <si>
    <t>0.60%</t>
  </si>
  <si>
    <t>≈145,700</t>
  </si>
  <si>
    <t>35.00%</t>
  </si>
  <si>
    <t>≈306</t>
  </si>
  <si>
    <t>全局+30BP</t>
  </si>
  <si>
    <t>≈437</t>
  </si>
  <si>
    <t>≈743</t>
  </si>
  <si>
    <t>正常端到端：折现EAD≈95K+51K=146K, PD=CRR3(0.5%/0.25%/1.0%)加权</t>
  </si>
  <si>
    <t>1.55%</t>
  </si>
  <si>
    <t>2.32%</t>
  </si>
  <si>
    <t>≈537,500</t>
  </si>
  <si>
    <t>≈4,365</t>
  </si>
  <si>
    <t>全局+30BP + FIXED¥5000</t>
  </si>
  <si>
    <t>≈6,613</t>
  </si>
  <si>
    <t>≈10,978</t>
  </si>
  <si>
    <t>逾期45天注：存续期=1-(1-0.0155)^1.5≈2.32%</t>
  </si>
  <si>
    <t>GRP_DEFAULT</t>
  </si>
  <si>
    <t>-</t>
  </si>
  <si>
    <t>100%</t>
  </si>
  <si>
    <t>≈1,850,000</t>
  </si>
  <si>
    <t>45.00%</t>
  </si>
  <si>
    <t>≈832,500</t>
  </si>
  <si>
    <t>全局+30BP + 高风险+5%</t>
  </si>
  <si>
    <t>≈151,850</t>
  </si>
  <si>
    <t>≈984,350</t>
  </si>
  <si>
    <t>STAGE3 PD=1.0，LGD分组走GRP_SME最后通配→NONE路径0.55→default_lgd覆盖？</t>
  </si>
  <si>
    <t>0.10%</t>
  </si>
  <si>
    <t>≈150,000</t>
  </si>
  <si>
    <t>≈53</t>
  </si>
  <si>
    <t>≈450</t>
  </si>
  <si>
    <t>≈503</t>
  </si>
  <si>
    <t>表外EAD=未提300K×CCF0.5(LCC1年内)=150K</t>
  </si>
  <si>
    <t>1.75%</t>
  </si>
  <si>
    <t>6.38%</t>
  </si>
  <si>
    <t>≈314,000</t>
  </si>
  <si>
    <t>10-15%</t>
  </si>
  <si>
    <t>≈2,000-4,000</t>
  </si>
  <si>
    <t>逾期范围叠加+10% + 零售+50BP</t>
  </si>
  <si>
    <t>≈7,000-10,000</t>
  </si>
  <si>
    <t>≈9,000-14,000</t>
  </si>
  <si>
    <t>CRR3→CRR5下降2级触发STAGE2。抵押池覆盖EAD→LGD按下限10%</t>
  </si>
  <si>
    <t>3.25%</t>
  </si>
  <si>
    <t>4.50%</t>
  </si>
  <si>
    <t>≈93,250</t>
  </si>
  <si>
    <t>55.00%</t>
  </si>
  <si>
    <t>≈2,300</t>
  </si>
  <si>
    <t>≈13,988</t>
  </si>
  <si>
    <t>≈16,288</t>
  </si>
  <si>
    <t>STAGE2(次级)·LGD走小微NONE路径0.55·PD=CRR6(10%/5%/20%)=3.25%</t>
  </si>
  <si>
    <t>STAGE_1(回跳)</t>
  </si>
  <si>
    <t>0.40%</t>
  </si>
  <si>
    <t>≈150,300</t>
  </si>
  <si>
    <t>30.00%(抵押)</t>
  </si>
  <si>
    <t>≈180</t>
  </si>
  <si>
    <t>零售+50BP</t>
  </si>
  <si>
    <t>≈752</t>
  </si>
  <si>
    <t>≈932</t>
  </si>
  <si>
    <t>STAGE2→STAGE1回跳·逾期0天·正常连续200天≥181·回跳条件满足</t>
  </si>
  <si>
    <t>异常</t>
  </si>
  <si>
    <t>≈50,200</t>
  </si>
  <si>
    <t>45.00%(保证)</t>
  </si>
  <si>
    <t>到期日=计量日·PD阻断(ECL_001)·需确认是否为预期行为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</si>
</sst>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3" t="s">
        <v>5</v>
      </c>
      <c r="C3" s="3" t="s">
        <v>6</v>
      </c>
    </row>
    <row r="4" spans="1:3">
      <c r="A4" s="3" t="s">
        <v>7</v>
      </c>
      <c r="B4" s="3" t="s">
        <v>8</v>
      </c>
      <c r="C4" s="3" t="s">
        <v>9</v>
      </c>
    </row>
    <row r="5" spans="1:3">
      <c r="A5" s="3" t="s">
        <v>10</v>
      </c>
      <c r="B5" s="3" t="s">
        <v>11</v>
      </c>
      <c r="C5" s="3" t="s">
        <v>12</v>
      </c>
    </row>
    <row r="6" spans="1:3">
      <c r="A6" s="3" t="s">
        <v>13</v>
      </c>
      <c r="B6" s="3" t="s">
        <v>14</v>
      </c>
      <c r="C6" s="3" t="s">
        <v>15</v>
      </c>
    </row>
    <row r="7" spans="1:3">
      <c r="A7" s="3" t="s">
        <v>16</v>
      </c>
      <c r="B7" s="3" t="s">
        <v>17</v>
      </c>
      <c r="C7" s="3" t="s">
        <v>18</v>
      </c>
    </row>
    <row r="8" spans="1:3">
      <c r="A8" s="3" t="s">
        <v>19</v>
      </c>
      <c r="B8" s="3" t="s">
        <v>20</v>
      </c>
      <c r="C8" s="3" t="s">
        <v>21</v>
      </c>
    </row>
    <row r="9" spans="1:3">
      <c r="A9" s="3" t="s">
        <v>22</v>
      </c>
      <c r="B9" s="3" t="s">
        <v>23</v>
      </c>
      <c r="C9" s="3" t="s">
        <v>24</v>
      </c>
    </row>
    <row r="10" spans="1:3">
      <c r="A10" s="3" t="s">
        <v>25</v>
      </c>
      <c r="B10" s="3" t="s">
        <v>26</v>
      </c>
      <c r="C10" s="3" t="s">
        <v>27</v>
      </c>
    </row>
    <row r="11" spans="1:3">
      <c r="A11" s="3" t="s">
        <v>28</v>
      </c>
      <c r="B11" s="3" t="s">
        <v>29</v>
      </c>
      <c r="C11" s="3" t="s">
        <v>30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4.7109375" customWidth="1"/>
    <col min="2" max="2" width="18.7109375" customWidth="1"/>
    <col min="3" max="3" width="8.7109375" customWidth="1"/>
    <col min="4" max="4" width="12.7109375" customWidth="1"/>
    <col min="5" max="7" width="14.7109375" customWidth="1"/>
    <col min="8" max="8" width="30.7109375" customWidth="1"/>
  </cols>
  <sheetData>
    <row r="1" spans="1:8">
      <c r="A1" s="1" t="s">
        <v>31</v>
      </c>
      <c r="B1" s="1"/>
      <c r="C1" s="1"/>
      <c r="D1" s="1"/>
      <c r="E1" s="1"/>
      <c r="F1" s="1"/>
      <c r="G1" s="1"/>
      <c r="H1" s="1"/>
    </row>
    <row r="2" spans="1:8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</row>
    <row r="3" spans="1:8">
      <c r="A3" s="3" t="s">
        <v>40</v>
      </c>
      <c r="B3" s="3" t="s">
        <v>41</v>
      </c>
      <c r="C3" s="3">
        <v>1</v>
      </c>
      <c r="D3" s="3" t="s">
        <v>42</v>
      </c>
      <c r="E3" s="3" t="s">
        <v>43</v>
      </c>
      <c r="F3" s="3"/>
      <c r="G3" s="3" t="s">
        <v>44</v>
      </c>
      <c r="H3" s="3" t="s">
        <v>45</v>
      </c>
    </row>
    <row r="4" spans="1:8">
      <c r="A4" s="3" t="s">
        <v>40</v>
      </c>
      <c r="B4" s="3" t="s">
        <v>41</v>
      </c>
      <c r="C4" s="3">
        <v>2</v>
      </c>
      <c r="D4" s="3" t="s">
        <v>42</v>
      </c>
      <c r="E4" s="3" t="s">
        <v>46</v>
      </c>
      <c r="F4" s="3"/>
      <c r="G4" s="3"/>
      <c r="H4" s="3" t="s">
        <v>47</v>
      </c>
    </row>
    <row r="5" spans="1:8">
      <c r="A5" s="3" t="s">
        <v>40</v>
      </c>
      <c r="B5" s="3" t="s">
        <v>41</v>
      </c>
      <c r="C5" s="3">
        <v>3</v>
      </c>
      <c r="D5" s="3" t="s">
        <v>42</v>
      </c>
      <c r="E5" s="3" t="s">
        <v>48</v>
      </c>
      <c r="F5" s="3"/>
      <c r="G5" s="3" t="s">
        <v>49</v>
      </c>
      <c r="H5" s="3" t="s">
        <v>50</v>
      </c>
    </row>
    <row r="6" spans="1:8">
      <c r="A6" s="3" t="s">
        <v>40</v>
      </c>
      <c r="B6" s="3" t="s">
        <v>41</v>
      </c>
      <c r="C6" s="3">
        <v>4</v>
      </c>
      <c r="D6" s="3" t="s">
        <v>42</v>
      </c>
      <c r="E6" s="3"/>
      <c r="F6" s="3"/>
      <c r="G6" s="3"/>
      <c r="H6" s="3" t="s">
        <v>51</v>
      </c>
    </row>
    <row r="7" spans="1:8">
      <c r="A7" s="3" t="s">
        <v>52</v>
      </c>
      <c r="B7" s="3" t="s">
        <v>53</v>
      </c>
      <c r="C7" s="3">
        <v>1</v>
      </c>
      <c r="D7" s="3" t="s">
        <v>54</v>
      </c>
      <c r="E7" s="3" t="s">
        <v>55</v>
      </c>
      <c r="F7" s="3"/>
      <c r="G7" s="3"/>
      <c r="H7" s="3" t="s">
        <v>56</v>
      </c>
    </row>
    <row r="8" spans="1:8">
      <c r="A8" s="3" t="s">
        <v>52</v>
      </c>
      <c r="B8" s="3" t="s">
        <v>53</v>
      </c>
      <c r="C8" s="3">
        <v>2</v>
      </c>
      <c r="D8" s="3" t="s">
        <v>54</v>
      </c>
      <c r="E8" s="3"/>
      <c r="F8" s="3"/>
      <c r="G8" s="3"/>
      <c r="H8" s="3" t="s">
        <v>57</v>
      </c>
    </row>
    <row r="9" spans="1:8">
      <c r="A9" s="3" t="s">
        <v>58</v>
      </c>
      <c r="B9" s="3" t="s">
        <v>59</v>
      </c>
      <c r="C9" s="3">
        <v>1</v>
      </c>
      <c r="D9" s="3" t="s">
        <v>60</v>
      </c>
      <c r="E9" s="3"/>
      <c r="F9" s="3"/>
      <c r="G9" s="3"/>
      <c r="H9" s="3" t="s">
        <v>61</v>
      </c>
    </row>
    <row r="10" spans="1:8">
      <c r="A10" s="3" t="s">
        <v>58</v>
      </c>
      <c r="B10" s="3" t="s">
        <v>59</v>
      </c>
      <c r="C10" s="3">
        <v>2</v>
      </c>
      <c r="D10" s="3"/>
      <c r="E10" s="3"/>
      <c r="F10" s="3"/>
      <c r="G10" s="3"/>
      <c r="H10" s="3" t="s">
        <v>62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5" width="10.7109375" customWidth="1"/>
    <col min="6" max="6" width="50.7109375" customWidth="1"/>
    <col min="7" max="7" width="28.7109375" customWidth="1"/>
  </cols>
  <sheetData>
    <row r="1" spans="1:7">
      <c r="A1" s="1" t="s">
        <v>63</v>
      </c>
      <c r="B1" s="1"/>
      <c r="C1" s="1"/>
      <c r="D1" s="1"/>
      <c r="E1" s="1"/>
      <c r="F1" s="1"/>
      <c r="G1" s="1"/>
    </row>
    <row r="2" spans="1:7">
      <c r="A2" s="4" t="s">
        <v>64</v>
      </c>
      <c r="B2" s="4" t="s">
        <v>65</v>
      </c>
      <c r="C2" s="4" t="s">
        <v>34</v>
      </c>
      <c r="D2" s="4" t="s">
        <v>66</v>
      </c>
      <c r="E2" s="4" t="s">
        <v>67</v>
      </c>
      <c r="F2" s="4" t="s">
        <v>68</v>
      </c>
      <c r="G2" s="4" t="s">
        <v>3</v>
      </c>
    </row>
    <row r="3" spans="1:7">
      <c r="A3" s="3" t="s">
        <v>40</v>
      </c>
      <c r="B3" s="3" t="s">
        <v>69</v>
      </c>
      <c r="C3" s="3">
        <v>1</v>
      </c>
      <c r="D3" s="3"/>
      <c r="E3" s="3" t="s">
        <v>70</v>
      </c>
      <c r="F3" s="3" t="s">
        <v>71</v>
      </c>
      <c r="G3" s="3" t="s">
        <v>72</v>
      </c>
    </row>
    <row r="4" spans="1:7">
      <c r="A4" s="3" t="s">
        <v>40</v>
      </c>
      <c r="B4" s="3" t="s">
        <v>69</v>
      </c>
      <c r="C4" s="3">
        <v>2</v>
      </c>
      <c r="D4" s="3"/>
      <c r="E4" s="3" t="s">
        <v>70</v>
      </c>
      <c r="F4" s="3" t="s">
        <v>73</v>
      </c>
      <c r="G4" s="3" t="s">
        <v>74</v>
      </c>
    </row>
    <row r="5" spans="1:7">
      <c r="A5" s="3" t="s">
        <v>40</v>
      </c>
      <c r="B5" s="3" t="s">
        <v>69</v>
      </c>
      <c r="C5" s="3">
        <v>3</v>
      </c>
      <c r="D5" s="3"/>
      <c r="E5" s="3" t="s">
        <v>75</v>
      </c>
      <c r="F5" s="3" t="s">
        <v>76</v>
      </c>
      <c r="G5" s="3" t="s">
        <v>77</v>
      </c>
    </row>
    <row r="6" spans="1:7">
      <c r="A6" s="3" t="s">
        <v>40</v>
      </c>
      <c r="B6" s="3" t="s">
        <v>69</v>
      </c>
      <c r="C6" s="3">
        <v>4</v>
      </c>
      <c r="D6" s="3"/>
      <c r="E6" s="3" t="s">
        <v>78</v>
      </c>
      <c r="F6" s="3" t="s">
        <v>79</v>
      </c>
      <c r="G6" s="3" t="s">
        <v>80</v>
      </c>
    </row>
    <row r="7" spans="1:7">
      <c r="A7" s="3" t="s">
        <v>52</v>
      </c>
      <c r="B7" s="3" t="s">
        <v>69</v>
      </c>
      <c r="C7" s="3">
        <v>1</v>
      </c>
      <c r="D7" s="3"/>
      <c r="E7" s="3" t="s">
        <v>70</v>
      </c>
      <c r="F7" s="3" t="s">
        <v>71</v>
      </c>
      <c r="G7" s="3" t="s">
        <v>72</v>
      </c>
    </row>
    <row r="8" spans="1:7">
      <c r="A8" s="3" t="s">
        <v>52</v>
      </c>
      <c r="B8" s="3" t="s">
        <v>69</v>
      </c>
      <c r="C8" s="3">
        <v>2</v>
      </c>
      <c r="D8" s="3"/>
      <c r="E8" s="3" t="s">
        <v>70</v>
      </c>
      <c r="F8" s="3" t="s">
        <v>73</v>
      </c>
      <c r="G8" s="3" t="s">
        <v>74</v>
      </c>
    </row>
    <row r="9" spans="1:7">
      <c r="A9" s="3" t="s">
        <v>52</v>
      </c>
      <c r="B9" s="3" t="s">
        <v>69</v>
      </c>
      <c r="C9" s="3">
        <v>3</v>
      </c>
      <c r="D9" s="3"/>
      <c r="E9" s="3" t="s">
        <v>75</v>
      </c>
      <c r="F9" s="3" t="s">
        <v>76</v>
      </c>
      <c r="G9" s="3" t="s">
        <v>77</v>
      </c>
    </row>
    <row r="10" spans="1:7">
      <c r="A10" s="3" t="s">
        <v>52</v>
      </c>
      <c r="B10" s="3" t="s">
        <v>69</v>
      </c>
      <c r="C10" s="3">
        <v>4</v>
      </c>
      <c r="D10" s="3"/>
      <c r="E10" s="3" t="s">
        <v>75</v>
      </c>
      <c r="F10" s="3" t="s">
        <v>81</v>
      </c>
      <c r="G10" s="3" t="s">
        <v>82</v>
      </c>
    </row>
    <row r="11" spans="1:7">
      <c r="A11" s="3" t="s">
        <v>52</v>
      </c>
      <c r="B11" s="3" t="s">
        <v>69</v>
      </c>
      <c r="C11" s="3">
        <v>5</v>
      </c>
      <c r="D11" s="3"/>
      <c r="E11" s="3" t="s">
        <v>78</v>
      </c>
      <c r="F11" s="3" t="s">
        <v>79</v>
      </c>
      <c r="G11" s="3" t="s">
        <v>80</v>
      </c>
    </row>
    <row r="12" spans="1:7">
      <c r="A12" s="3" t="s">
        <v>58</v>
      </c>
      <c r="B12" s="3" t="s">
        <v>69</v>
      </c>
      <c r="C12" s="3">
        <v>1</v>
      </c>
      <c r="D12" s="3"/>
      <c r="E12" s="3" t="s">
        <v>70</v>
      </c>
      <c r="F12" s="3" t="s">
        <v>83</v>
      </c>
      <c r="G12" s="3" t="s">
        <v>84</v>
      </c>
    </row>
    <row r="13" spans="1:7">
      <c r="A13" s="3" t="s">
        <v>58</v>
      </c>
      <c r="B13" s="3" t="s">
        <v>69</v>
      </c>
      <c r="C13" s="3">
        <v>2</v>
      </c>
      <c r="D13" s="3"/>
      <c r="E13" s="3" t="s">
        <v>75</v>
      </c>
      <c r="F13" s="3" t="s">
        <v>76</v>
      </c>
      <c r="G13" s="3" t="s">
        <v>77</v>
      </c>
    </row>
    <row r="14" spans="1:7">
      <c r="A14" s="3" t="s">
        <v>58</v>
      </c>
      <c r="B14" s="3" t="s">
        <v>69</v>
      </c>
      <c r="C14" s="3">
        <v>3</v>
      </c>
      <c r="D14" s="3"/>
      <c r="E14" s="3" t="s">
        <v>78</v>
      </c>
      <c r="F14" s="3" t="s">
        <v>79</v>
      </c>
      <c r="G14" s="3" t="s">
        <v>80</v>
      </c>
    </row>
    <row r="15" spans="1:7">
      <c r="A15" s="3" t="s">
        <v>40</v>
      </c>
      <c r="B15" s="3" t="s">
        <v>85</v>
      </c>
      <c r="C15" s="3">
        <v>1</v>
      </c>
      <c r="D15" s="3" t="s">
        <v>75</v>
      </c>
      <c r="E15" s="3" t="s">
        <v>78</v>
      </c>
      <c r="F15" s="3" t="s">
        <v>86</v>
      </c>
      <c r="G15" s="3" t="s">
        <v>87</v>
      </c>
    </row>
    <row r="16" spans="1:7">
      <c r="A16" s="3" t="s">
        <v>40</v>
      </c>
      <c r="B16" s="3" t="s">
        <v>85</v>
      </c>
      <c r="C16" s="3">
        <v>2</v>
      </c>
      <c r="D16" s="3" t="s">
        <v>70</v>
      </c>
      <c r="E16" s="3" t="s">
        <v>75</v>
      </c>
      <c r="F16" s="3" t="s">
        <v>88</v>
      </c>
      <c r="G16" s="3" t="s">
        <v>89</v>
      </c>
    </row>
    <row r="17" spans="1:7">
      <c r="A17" s="3" t="s">
        <v>52</v>
      </c>
      <c r="B17" s="3" t="s">
        <v>85</v>
      </c>
      <c r="C17" s="3">
        <v>1</v>
      </c>
      <c r="D17" s="3" t="s">
        <v>75</v>
      </c>
      <c r="E17" s="3" t="s">
        <v>78</v>
      </c>
      <c r="F17" s="3" t="s">
        <v>90</v>
      </c>
      <c r="G17" s="3" t="s">
        <v>91</v>
      </c>
    </row>
    <row r="18" spans="1:7">
      <c r="A18" s="3" t="s">
        <v>58</v>
      </c>
      <c r="B18" s="3" t="s">
        <v>85</v>
      </c>
      <c r="C18" s="3">
        <v>1</v>
      </c>
      <c r="D18" s="3" t="s">
        <v>75</v>
      </c>
      <c r="E18" s="3" t="s">
        <v>78</v>
      </c>
      <c r="F18" s="3" t="s">
        <v>92</v>
      </c>
      <c r="G18" s="3" t="s">
        <v>93</v>
      </c>
    </row>
    <row r="20" spans="1:7">
      <c r="A20" s="1" t="s">
        <v>94</v>
      </c>
      <c r="B20" s="1"/>
      <c r="C20" s="1"/>
      <c r="D20" s="1"/>
      <c r="E20" s="1"/>
      <c r="F20" s="1"/>
      <c r="G20" s="1"/>
    </row>
    <row r="21" spans="1:7">
      <c r="A21" s="4" t="s">
        <v>64</v>
      </c>
      <c r="B21" s="4" t="s">
        <v>95</v>
      </c>
      <c r="C21" s="4" t="s">
        <v>96</v>
      </c>
      <c r="D21" s="4"/>
      <c r="E21" s="4"/>
      <c r="F21" s="4" t="s">
        <v>97</v>
      </c>
      <c r="G21" s="4" t="s">
        <v>3</v>
      </c>
    </row>
    <row r="22" spans="1:7">
      <c r="A22" s="3" t="s">
        <v>52</v>
      </c>
      <c r="B22" s="3" t="s">
        <v>98</v>
      </c>
      <c r="C22" s="3" t="s">
        <v>99</v>
      </c>
      <c r="D22" s="3"/>
      <c r="E22" s="3"/>
      <c r="F22" s="3">
        <v>2</v>
      </c>
      <c r="G22" s="3" t="s">
        <v>100</v>
      </c>
    </row>
    <row r="23" spans="1:7">
      <c r="A23" s="3" t="s">
        <v>52</v>
      </c>
      <c r="B23" s="3" t="s">
        <v>98</v>
      </c>
      <c r="C23" s="3" t="s">
        <v>101</v>
      </c>
      <c r="D23" s="3"/>
      <c r="E23" s="3"/>
      <c r="F23" s="3">
        <v>2</v>
      </c>
      <c r="G23" s="3" t="s">
        <v>102</v>
      </c>
    </row>
    <row r="24" spans="1:7">
      <c r="A24" s="3" t="s">
        <v>52</v>
      </c>
      <c r="B24" s="3" t="s">
        <v>98</v>
      </c>
      <c r="C24" s="3" t="s">
        <v>103</v>
      </c>
      <c r="D24" s="3"/>
      <c r="E24" s="3"/>
      <c r="F24" s="3">
        <v>1</v>
      </c>
      <c r="G24" s="3" t="s">
        <v>104</v>
      </c>
    </row>
    <row r="25" spans="1:7">
      <c r="A25" s="3" t="s">
        <v>52</v>
      </c>
      <c r="B25" s="3" t="s">
        <v>98</v>
      </c>
      <c r="C25" s="3" t="s">
        <v>105</v>
      </c>
      <c r="D25" s="3"/>
      <c r="E25" s="3"/>
      <c r="F25" s="3">
        <v>1</v>
      </c>
      <c r="G25" s="3" t="s">
        <v>106</v>
      </c>
    </row>
  </sheetData>
  <mergeCells count="2">
    <mergeCell ref="A1:G1"/>
    <mergeCell ref="A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6" width="14.7109375" customWidth="1"/>
    <col min="7" max="7" width="25.7109375" customWidth="1"/>
  </cols>
  <sheetData>
    <row r="1" spans="1:7">
      <c r="A1" s="1" t="s">
        <v>107</v>
      </c>
      <c r="B1" s="1"/>
      <c r="C1" s="1"/>
      <c r="D1" s="1"/>
      <c r="E1" s="1"/>
      <c r="F1" s="1"/>
      <c r="G1" s="1"/>
    </row>
    <row r="2" spans="1:7">
      <c r="A2" s="4" t="s">
        <v>64</v>
      </c>
      <c r="B2" s="4" t="s">
        <v>95</v>
      </c>
      <c r="C2" s="4" t="s">
        <v>108</v>
      </c>
      <c r="D2" s="4" t="s">
        <v>109</v>
      </c>
      <c r="E2" s="4" t="s">
        <v>110</v>
      </c>
      <c r="F2" s="4" t="s">
        <v>111</v>
      </c>
      <c r="G2" s="4" t="s">
        <v>3</v>
      </c>
    </row>
    <row r="3" spans="1:7">
      <c r="A3" s="3" t="s">
        <v>40</v>
      </c>
      <c r="B3" s="3" t="s">
        <v>98</v>
      </c>
      <c r="C3" s="3" t="s">
        <v>112</v>
      </c>
      <c r="D3" s="3">
        <v>0.001</v>
      </c>
      <c r="E3" s="3">
        <v>0.0005</v>
      </c>
      <c r="F3" s="3">
        <v>0.002</v>
      </c>
      <c r="G3" s="3" t="s">
        <v>113</v>
      </c>
    </row>
    <row r="4" spans="1:7">
      <c r="A4" s="3" t="s">
        <v>40</v>
      </c>
      <c r="B4" s="3" t="s">
        <v>98</v>
      </c>
      <c r="C4" s="3" t="s">
        <v>114</v>
      </c>
      <c r="D4" s="3">
        <v>0.0025</v>
      </c>
      <c r="E4" s="3">
        <v>0.001</v>
      </c>
      <c r="F4" s="3">
        <v>0.005</v>
      </c>
      <c r="G4" s="3"/>
    </row>
    <row r="5" spans="1:7">
      <c r="A5" s="3" t="s">
        <v>40</v>
      </c>
      <c r="B5" s="3" t="s">
        <v>98</v>
      </c>
      <c r="C5" s="3" t="s">
        <v>115</v>
      </c>
      <c r="D5" s="3">
        <v>0.005</v>
      </c>
      <c r="E5" s="3">
        <v>0.0025</v>
      </c>
      <c r="F5" s="3">
        <v>0.01</v>
      </c>
      <c r="G5" s="3" t="s">
        <v>116</v>
      </c>
    </row>
    <row r="6" spans="1:7">
      <c r="A6" s="3" t="s">
        <v>40</v>
      </c>
      <c r="B6" s="3" t="s">
        <v>98</v>
      </c>
      <c r="C6" s="3" t="s">
        <v>117</v>
      </c>
      <c r="D6" s="3">
        <v>0.01</v>
      </c>
      <c r="E6" s="3">
        <v>0.005</v>
      </c>
      <c r="F6" s="3">
        <v>0.02</v>
      </c>
      <c r="G6" s="3" t="s">
        <v>118</v>
      </c>
    </row>
    <row r="7" spans="1:7">
      <c r="A7" s="3" t="s">
        <v>40</v>
      </c>
      <c r="B7" s="3" t="s">
        <v>98</v>
      </c>
      <c r="C7" s="3" t="s">
        <v>99</v>
      </c>
      <c r="D7" s="3">
        <v>0.025</v>
      </c>
      <c r="E7" s="3">
        <v>0.012</v>
      </c>
      <c r="F7" s="3">
        <v>0.05</v>
      </c>
      <c r="G7" s="3" t="s">
        <v>119</v>
      </c>
    </row>
    <row r="8" spans="1:7">
      <c r="A8" s="3" t="s">
        <v>40</v>
      </c>
      <c r="B8" s="3" t="s">
        <v>98</v>
      </c>
      <c r="C8" s="3" t="s">
        <v>101</v>
      </c>
      <c r="D8" s="3">
        <v>0.05</v>
      </c>
      <c r="E8" s="3">
        <v>0.025</v>
      </c>
      <c r="F8" s="3">
        <v>0.1</v>
      </c>
      <c r="G8" s="3"/>
    </row>
    <row r="9" spans="1:7">
      <c r="A9" s="3" t="s">
        <v>40</v>
      </c>
      <c r="B9" s="3" t="s">
        <v>98</v>
      </c>
      <c r="C9" s="3" t="s">
        <v>103</v>
      </c>
      <c r="D9" s="3">
        <v>0.1</v>
      </c>
      <c r="E9" s="3">
        <v>0.05</v>
      </c>
      <c r="F9" s="3">
        <v>0.2</v>
      </c>
      <c r="G9" s="3"/>
    </row>
    <row r="10" spans="1:7">
      <c r="A10" s="3" t="s">
        <v>40</v>
      </c>
      <c r="B10" s="3" t="s">
        <v>98</v>
      </c>
      <c r="C10" s="3" t="s">
        <v>105</v>
      </c>
      <c r="D10" s="3">
        <v>0.25</v>
      </c>
      <c r="E10" s="3">
        <v>0.12</v>
      </c>
      <c r="F10" s="3">
        <v>0.5</v>
      </c>
      <c r="G10" s="3" t="s">
        <v>120</v>
      </c>
    </row>
    <row r="11" spans="1:7">
      <c r="A11" s="3" t="s">
        <v>52</v>
      </c>
      <c r="B11" s="3" t="s">
        <v>121</v>
      </c>
      <c r="C11" s="3" t="s">
        <v>122</v>
      </c>
      <c r="D11" s="3">
        <v>0.0005</v>
      </c>
      <c r="E11" s="3">
        <v>0.0002</v>
      </c>
      <c r="F11" s="3">
        <v>0.001</v>
      </c>
      <c r="G11" s="3" t="s">
        <v>123</v>
      </c>
    </row>
    <row r="12" spans="1:7">
      <c r="A12" s="3" t="s">
        <v>52</v>
      </c>
      <c r="B12" s="3" t="s">
        <v>121</v>
      </c>
      <c r="C12" s="3" t="s">
        <v>124</v>
      </c>
      <c r="D12" s="3">
        <v>0.001</v>
      </c>
      <c r="E12" s="3">
        <v>0.0005</v>
      </c>
      <c r="F12" s="3">
        <v>0.002</v>
      </c>
      <c r="G12" s="3"/>
    </row>
    <row r="13" spans="1:7">
      <c r="A13" s="3" t="s">
        <v>52</v>
      </c>
      <c r="B13" s="3" t="s">
        <v>121</v>
      </c>
      <c r="C13" s="3" t="s">
        <v>125</v>
      </c>
      <c r="D13" s="3">
        <v>0.002</v>
      </c>
      <c r="E13" s="3">
        <v>0.001</v>
      </c>
      <c r="F13" s="3">
        <v>0.004</v>
      </c>
      <c r="G13" s="3"/>
    </row>
    <row r="14" spans="1:7">
      <c r="A14" s="3" t="s">
        <v>52</v>
      </c>
      <c r="B14" s="3" t="s">
        <v>121</v>
      </c>
      <c r="C14" s="3" t="s">
        <v>126</v>
      </c>
      <c r="D14" s="3">
        <v>0.004</v>
      </c>
      <c r="E14" s="3">
        <v>0.002</v>
      </c>
      <c r="F14" s="3">
        <v>0.008</v>
      </c>
      <c r="G14" s="3"/>
    </row>
    <row r="15" spans="1:7">
      <c r="A15" s="3" t="s">
        <v>52</v>
      </c>
      <c r="B15" s="3" t="s">
        <v>121</v>
      </c>
      <c r="C15" s="3" t="s">
        <v>127</v>
      </c>
      <c r="D15" s="3">
        <v>0.008</v>
      </c>
      <c r="E15" s="3">
        <v>0.004</v>
      </c>
      <c r="F15" s="3">
        <v>0.016</v>
      </c>
      <c r="G15" s="3" t="s">
        <v>128</v>
      </c>
    </row>
    <row r="16" spans="1:7">
      <c r="A16" s="3" t="s">
        <v>52</v>
      </c>
      <c r="B16" s="3" t="s">
        <v>121</v>
      </c>
      <c r="C16" s="3" t="s">
        <v>129</v>
      </c>
      <c r="D16" s="3">
        <v>0.02</v>
      </c>
      <c r="E16" s="3">
        <v>0.01</v>
      </c>
      <c r="F16" s="3">
        <v>0.04</v>
      </c>
      <c r="G16" s="3"/>
    </row>
    <row r="17" spans="1:7">
      <c r="A17" s="3" t="s">
        <v>52</v>
      </c>
      <c r="B17" s="3" t="s">
        <v>121</v>
      </c>
      <c r="C17" s="3" t="s">
        <v>130</v>
      </c>
      <c r="D17" s="3">
        <v>0.05</v>
      </c>
      <c r="E17" s="3">
        <v>0.025</v>
      </c>
      <c r="F17" s="3">
        <v>0.1</v>
      </c>
      <c r="G17" s="3"/>
    </row>
    <row r="18" spans="1:7">
      <c r="A18" s="3" t="s">
        <v>52</v>
      </c>
      <c r="B18" s="3" t="s">
        <v>121</v>
      </c>
      <c r="C18" s="3" t="s">
        <v>131</v>
      </c>
      <c r="D18" s="3">
        <v>0.1</v>
      </c>
      <c r="E18" s="3">
        <v>0.05</v>
      </c>
      <c r="F18" s="3">
        <v>0.2</v>
      </c>
      <c r="G18" s="3"/>
    </row>
    <row r="19" spans="1:7">
      <c r="A19" s="3" t="s">
        <v>52</v>
      </c>
      <c r="B19" s="3" t="s">
        <v>121</v>
      </c>
      <c r="C19" s="3" t="s">
        <v>132</v>
      </c>
      <c r="D19" s="3">
        <v>0.25</v>
      </c>
      <c r="E19" s="3">
        <v>0.12</v>
      </c>
      <c r="F19" s="3">
        <v>0.5</v>
      </c>
      <c r="G19" s="3"/>
    </row>
    <row r="20" spans="1:7">
      <c r="A20" s="3" t="s">
        <v>52</v>
      </c>
      <c r="B20" s="3" t="s">
        <v>121</v>
      </c>
      <c r="C20" s="3" t="s">
        <v>133</v>
      </c>
      <c r="D20" s="3">
        <v>0.4</v>
      </c>
      <c r="E20" s="3">
        <v>0.2</v>
      </c>
      <c r="F20" s="3">
        <v>0.65</v>
      </c>
      <c r="G20" s="3" t="s">
        <v>134</v>
      </c>
    </row>
    <row r="21" spans="1:7">
      <c r="A21" s="3" t="s">
        <v>58</v>
      </c>
      <c r="B21" s="3" t="s">
        <v>98</v>
      </c>
      <c r="C21" s="3" t="s">
        <v>112</v>
      </c>
      <c r="D21" s="3">
        <v>0.002</v>
      </c>
      <c r="E21" s="3">
        <v>0.001</v>
      </c>
      <c r="F21" s="3">
        <v>0.004</v>
      </c>
      <c r="G21" s="3"/>
    </row>
    <row r="22" spans="1:7">
      <c r="A22" s="3" t="s">
        <v>58</v>
      </c>
      <c r="B22" s="3" t="s">
        <v>98</v>
      </c>
      <c r="C22" s="3" t="s">
        <v>114</v>
      </c>
      <c r="D22" s="3">
        <v>0.005</v>
      </c>
      <c r="E22" s="3">
        <v>0.0025</v>
      </c>
      <c r="F22" s="3">
        <v>0.01</v>
      </c>
      <c r="G22" s="3"/>
    </row>
    <row r="23" spans="1:7">
      <c r="A23" s="3" t="s">
        <v>58</v>
      </c>
      <c r="B23" s="3" t="s">
        <v>98</v>
      </c>
      <c r="C23" s="3" t="s">
        <v>115</v>
      </c>
      <c r="D23" s="3">
        <v>0.01</v>
      </c>
      <c r="E23" s="3">
        <v>0.005</v>
      </c>
      <c r="F23" s="3">
        <v>0.02</v>
      </c>
      <c r="G23" s="3"/>
    </row>
    <row r="24" spans="1:7">
      <c r="A24" s="3" t="s">
        <v>58</v>
      </c>
      <c r="B24" s="3" t="s">
        <v>98</v>
      </c>
      <c r="C24" s="3" t="s">
        <v>117</v>
      </c>
      <c r="D24" s="3">
        <v>0.02</v>
      </c>
      <c r="E24" s="3">
        <v>0.01</v>
      </c>
      <c r="F24" s="3">
        <v>0.04</v>
      </c>
      <c r="G24" s="3"/>
    </row>
    <row r="25" spans="1:7">
      <c r="A25" s="3" t="s">
        <v>58</v>
      </c>
      <c r="B25" s="3" t="s">
        <v>98</v>
      </c>
      <c r="C25" s="3" t="s">
        <v>99</v>
      </c>
      <c r="D25" s="3">
        <v>0.05</v>
      </c>
      <c r="E25" s="3">
        <v>0.025</v>
      </c>
      <c r="F25" s="3">
        <v>0.1</v>
      </c>
      <c r="G25" s="3"/>
    </row>
    <row r="26" spans="1:7">
      <c r="A26" s="3" t="s">
        <v>58</v>
      </c>
      <c r="B26" s="3" t="s">
        <v>98</v>
      </c>
      <c r="C26" s="3" t="s">
        <v>101</v>
      </c>
      <c r="D26" s="3">
        <v>0.1</v>
      </c>
      <c r="E26" s="3">
        <v>0.05</v>
      </c>
      <c r="F26" s="3">
        <v>0.2</v>
      </c>
      <c r="G26" s="3"/>
    </row>
    <row r="27" spans="1:7">
      <c r="A27" s="3" t="s">
        <v>58</v>
      </c>
      <c r="B27" s="3" t="s">
        <v>98</v>
      </c>
      <c r="C27" s="3" t="s">
        <v>103</v>
      </c>
      <c r="D27" s="3">
        <v>0.2</v>
      </c>
      <c r="E27" s="3">
        <v>0.1</v>
      </c>
      <c r="F27" s="3">
        <v>0.4</v>
      </c>
      <c r="G27" s="3"/>
    </row>
    <row r="28" spans="1:7">
      <c r="A28" s="3" t="s">
        <v>58</v>
      </c>
      <c r="B28" s="3" t="s">
        <v>98</v>
      </c>
      <c r="C28" s="3" t="s">
        <v>105</v>
      </c>
      <c r="D28" s="3">
        <v>0.35</v>
      </c>
      <c r="E28" s="3">
        <v>0.18</v>
      </c>
      <c r="F28" s="3">
        <v>0.6</v>
      </c>
      <c r="G28" s="3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cols>
    <col min="1" max="6" width="18.7109375" customWidth="1"/>
  </cols>
  <sheetData>
    <row r="1" spans="1:4">
      <c r="A1" s="1" t="s">
        <v>135</v>
      </c>
      <c r="B1" s="1"/>
      <c r="C1" s="1"/>
      <c r="D1" s="1"/>
    </row>
    <row r="2" spans="1:4">
      <c r="A2" s="4" t="s">
        <v>64</v>
      </c>
      <c r="B2" s="4" t="s">
        <v>136</v>
      </c>
      <c r="C2" s="4" t="s">
        <v>137</v>
      </c>
      <c r="D2" s="4" t="s">
        <v>138</v>
      </c>
    </row>
    <row r="3" spans="1:4">
      <c r="A3" s="3" t="s">
        <v>40</v>
      </c>
      <c r="B3" s="3" t="s">
        <v>44</v>
      </c>
      <c r="C3" s="3" t="s">
        <v>43</v>
      </c>
      <c r="D3" s="3">
        <v>0.35</v>
      </c>
    </row>
    <row r="4" spans="1:4">
      <c r="A4" s="3" t="s">
        <v>40</v>
      </c>
      <c r="B4" s="3" t="s">
        <v>44</v>
      </c>
      <c r="C4" s="3" t="s">
        <v>46</v>
      </c>
      <c r="D4" s="3">
        <v>0.3</v>
      </c>
    </row>
    <row r="5" spans="1:4">
      <c r="A5" s="3" t="s">
        <v>40</v>
      </c>
      <c r="B5" s="3" t="s">
        <v>44</v>
      </c>
      <c r="C5" s="3" t="s">
        <v>48</v>
      </c>
      <c r="D5" s="3">
        <v>0.25</v>
      </c>
    </row>
    <row r="6" spans="1:4">
      <c r="A6" s="3" t="s">
        <v>40</v>
      </c>
      <c r="B6" s="3" t="s">
        <v>49</v>
      </c>
      <c r="C6" s="3" t="s">
        <v>43</v>
      </c>
      <c r="D6" s="3">
        <v>0.4</v>
      </c>
    </row>
    <row r="7" spans="1:4">
      <c r="A7" s="3" t="s">
        <v>40</v>
      </c>
      <c r="B7" s="3" t="s">
        <v>49</v>
      </c>
      <c r="C7" s="3" t="s">
        <v>48</v>
      </c>
      <c r="D7" s="3">
        <v>0.35</v>
      </c>
    </row>
    <row r="8" spans="1:4">
      <c r="A8" s="3" t="s">
        <v>40</v>
      </c>
      <c r="B8" s="3" t="s">
        <v>139</v>
      </c>
      <c r="C8" s="3" t="s">
        <v>43</v>
      </c>
      <c r="D8" s="3">
        <v>0.45</v>
      </c>
    </row>
    <row r="9" spans="1:4">
      <c r="A9" s="3" t="s">
        <v>40</v>
      </c>
      <c r="B9" s="3" t="s">
        <v>139</v>
      </c>
      <c r="C9" s="3" t="s">
        <v>46</v>
      </c>
      <c r="D9" s="3">
        <v>0.45</v>
      </c>
    </row>
    <row r="10" spans="1:4">
      <c r="A10" s="3" t="s">
        <v>40</v>
      </c>
      <c r="B10" s="3" t="s">
        <v>140</v>
      </c>
      <c r="C10" s="3" t="s">
        <v>43</v>
      </c>
      <c r="D10" s="3">
        <v>0.45</v>
      </c>
    </row>
    <row r="11" spans="1:4">
      <c r="A11" s="3" t="s">
        <v>40</v>
      </c>
      <c r="B11" s="3" t="s">
        <v>140</v>
      </c>
      <c r="C11" s="3" t="s">
        <v>46</v>
      </c>
      <c r="D11" s="3">
        <v>0.45</v>
      </c>
    </row>
    <row r="12" spans="1:4">
      <c r="A12" s="3" t="s">
        <v>40</v>
      </c>
      <c r="B12" s="3" t="s">
        <v>140</v>
      </c>
      <c r="C12" s="3" t="s">
        <v>48</v>
      </c>
      <c r="D12" s="3">
        <v>0.4</v>
      </c>
    </row>
    <row r="13" spans="1:4">
      <c r="A13" s="3" t="s">
        <v>52</v>
      </c>
      <c r="B13" s="3" t="s">
        <v>44</v>
      </c>
      <c r="C13" s="3" t="s">
        <v>55</v>
      </c>
      <c r="D13" s="3">
        <v>0.25</v>
      </c>
    </row>
    <row r="14" spans="1:4">
      <c r="A14" s="3" t="s">
        <v>52</v>
      </c>
      <c r="B14" s="3" t="s">
        <v>44</v>
      </c>
      <c r="C14" s="3" t="s">
        <v>141</v>
      </c>
      <c r="D14" s="3">
        <v>0.2</v>
      </c>
    </row>
    <row r="15" spans="1:4">
      <c r="A15" s="3" t="s">
        <v>52</v>
      </c>
      <c r="B15" s="3" t="s">
        <v>49</v>
      </c>
      <c r="C15" s="3" t="s">
        <v>55</v>
      </c>
      <c r="D15" s="3">
        <v>0.35</v>
      </c>
    </row>
    <row r="16" spans="1:4">
      <c r="A16" s="3" t="s">
        <v>52</v>
      </c>
      <c r="B16" s="3" t="s">
        <v>142</v>
      </c>
      <c r="C16" s="3" t="s">
        <v>55</v>
      </c>
      <c r="D16" s="3">
        <v>0.3</v>
      </c>
    </row>
    <row r="17" spans="1:4">
      <c r="A17" s="3" t="s">
        <v>52</v>
      </c>
      <c r="B17" s="3" t="s">
        <v>139</v>
      </c>
      <c r="C17" s="3" t="s">
        <v>55</v>
      </c>
      <c r="D17" s="3">
        <v>0.6</v>
      </c>
    </row>
    <row r="18" spans="1:4">
      <c r="A18" s="3" t="s">
        <v>52</v>
      </c>
      <c r="B18" s="3" t="s">
        <v>140</v>
      </c>
      <c r="C18" s="3" t="s">
        <v>55</v>
      </c>
      <c r="D18" s="3">
        <v>0.6</v>
      </c>
    </row>
    <row r="19" spans="1:4">
      <c r="A19" s="3" t="s">
        <v>52</v>
      </c>
      <c r="B19" s="3" t="s">
        <v>140</v>
      </c>
      <c r="C19" s="3" t="s">
        <v>141</v>
      </c>
      <c r="D19" s="3">
        <v>0.55</v>
      </c>
    </row>
    <row r="20" spans="1:4">
      <c r="A20" s="3" t="s">
        <v>58</v>
      </c>
      <c r="B20" s="3" t="s">
        <v>44</v>
      </c>
      <c r="C20" s="3" t="s">
        <v>143</v>
      </c>
      <c r="D20" s="3">
        <v>0.3</v>
      </c>
    </row>
    <row r="21" spans="1:4">
      <c r="A21" s="3" t="s">
        <v>58</v>
      </c>
      <c r="B21" s="3" t="s">
        <v>49</v>
      </c>
      <c r="C21" s="3" t="s">
        <v>143</v>
      </c>
      <c r="D21" s="3">
        <v>0.45</v>
      </c>
    </row>
    <row r="22" spans="1:4">
      <c r="A22" s="3" t="s">
        <v>58</v>
      </c>
      <c r="B22" s="3" t="s">
        <v>139</v>
      </c>
      <c r="C22" s="3" t="s">
        <v>143</v>
      </c>
      <c r="D22" s="3">
        <v>0.55</v>
      </c>
    </row>
    <row r="23" spans="1:4">
      <c r="A23" s="3" t="s">
        <v>58</v>
      </c>
      <c r="B23" s="3" t="s">
        <v>140</v>
      </c>
      <c r="C23" s="3" t="s">
        <v>143</v>
      </c>
      <c r="D23" s="3">
        <v>0.55</v>
      </c>
    </row>
    <row r="25" spans="1:4">
      <c r="A25" s="1" t="s">
        <v>144</v>
      </c>
      <c r="B25" s="1"/>
      <c r="C25" s="1"/>
      <c r="D25" s="1"/>
    </row>
    <row r="26" spans="1:4">
      <c r="A26" s="4" t="s">
        <v>145</v>
      </c>
      <c r="B26" s="4" t="s">
        <v>146</v>
      </c>
      <c r="C26" s="4"/>
      <c r="D26" s="4" t="s">
        <v>147</v>
      </c>
    </row>
    <row r="27" spans="1:4">
      <c r="A27" s="3" t="s">
        <v>44</v>
      </c>
      <c r="B27" s="3" t="s">
        <v>148</v>
      </c>
      <c r="C27" s="3"/>
      <c r="D27" s="3">
        <v>0.2</v>
      </c>
    </row>
    <row r="28" spans="1:4">
      <c r="A28" s="3" t="s">
        <v>44</v>
      </c>
      <c r="B28" s="3" t="s">
        <v>149</v>
      </c>
      <c r="C28" s="3"/>
      <c r="D28" s="3">
        <v>0.3</v>
      </c>
    </row>
    <row r="29" spans="1:4">
      <c r="A29" s="3" t="s">
        <v>44</v>
      </c>
      <c r="B29" s="3" t="s">
        <v>150</v>
      </c>
      <c r="C29" s="3"/>
      <c r="D29" s="3">
        <v>0.15</v>
      </c>
    </row>
    <row r="30" spans="1:4">
      <c r="A30" s="3" t="s">
        <v>151</v>
      </c>
      <c r="B30" s="3" t="s">
        <v>152</v>
      </c>
      <c r="C30" s="3"/>
      <c r="D30" s="3">
        <v>0.3</v>
      </c>
    </row>
    <row r="31" spans="1:4">
      <c r="A31" s="3" t="s">
        <v>151</v>
      </c>
      <c r="B31" s="3" t="s">
        <v>153</v>
      </c>
      <c r="C31" s="3"/>
      <c r="D31" s="3">
        <v>0.25</v>
      </c>
    </row>
    <row r="32" spans="1:4">
      <c r="A32" s="3" t="s">
        <v>151</v>
      </c>
      <c r="B32" s="3" t="s">
        <v>154</v>
      </c>
      <c r="C32" s="3"/>
      <c r="D32" s="3">
        <v>0.4</v>
      </c>
    </row>
    <row r="33" spans="1:4">
      <c r="A33" s="3" t="s">
        <v>155</v>
      </c>
      <c r="B33" s="3" t="s">
        <v>156</v>
      </c>
      <c r="C33" s="3"/>
      <c r="D33" s="3">
        <v>0.05</v>
      </c>
    </row>
    <row r="34" spans="1:4">
      <c r="A34" s="3" t="s">
        <v>155</v>
      </c>
      <c r="B34" s="3" t="s">
        <v>157</v>
      </c>
      <c r="C34" s="3"/>
      <c r="D34" s="3">
        <v>0</v>
      </c>
    </row>
    <row r="35" spans="1:4">
      <c r="A35" s="3" t="s">
        <v>155</v>
      </c>
      <c r="B35" s="3" t="s">
        <v>158</v>
      </c>
      <c r="C35" s="3"/>
      <c r="D35" s="3">
        <v>0.1</v>
      </c>
    </row>
    <row r="36" spans="1:4">
      <c r="A36" s="3" t="s">
        <v>159</v>
      </c>
      <c r="B36" s="3" t="s">
        <v>49</v>
      </c>
      <c r="C36" s="3"/>
      <c r="D36" s="3">
        <v>0</v>
      </c>
    </row>
    <row r="38" spans="1:4">
      <c r="A38" s="1" t="s">
        <v>160</v>
      </c>
      <c r="B38" s="1"/>
      <c r="C38" s="1"/>
      <c r="D38" s="1"/>
    </row>
    <row r="39" spans="1:4">
      <c r="A39" s="4" t="s">
        <v>146</v>
      </c>
      <c r="B39" s="4" t="s">
        <v>161</v>
      </c>
      <c r="C39" s="4"/>
      <c r="D39" s="4" t="s">
        <v>162</v>
      </c>
    </row>
    <row r="40" spans="1:4">
      <c r="A40" s="3" t="s">
        <v>148</v>
      </c>
      <c r="B40" s="3">
        <v>0</v>
      </c>
      <c r="C40" s="3"/>
      <c r="D40" s="3">
        <v>-0.02</v>
      </c>
    </row>
    <row r="41" spans="1:4">
      <c r="A41" s="3" t="s">
        <v>148</v>
      </c>
      <c r="B41" s="3">
        <v>1</v>
      </c>
      <c r="C41" s="3"/>
      <c r="D41" s="3">
        <v>-0.015</v>
      </c>
    </row>
    <row r="42" spans="1:4">
      <c r="A42" s="3" t="s">
        <v>148</v>
      </c>
      <c r="B42" s="3">
        <v>2</v>
      </c>
      <c r="C42" s="3"/>
      <c r="D42" s="3">
        <v>-0.01</v>
      </c>
    </row>
    <row r="43" spans="1:4">
      <c r="A43" s="3" t="s">
        <v>148</v>
      </c>
      <c r="B43" s="3">
        <v>3</v>
      </c>
      <c r="C43" s="3"/>
      <c r="D43" s="3">
        <v>0</v>
      </c>
    </row>
    <row r="44" spans="1:4">
      <c r="A44" s="3" t="s">
        <v>148</v>
      </c>
      <c r="B44" s="3">
        <v>5</v>
      </c>
      <c r="C44" s="3"/>
      <c r="D44" s="3">
        <v>0.02</v>
      </c>
    </row>
    <row r="45" spans="1:4">
      <c r="A45" s="3" t="s">
        <v>148</v>
      </c>
      <c r="B45" s="3">
        <v>10</v>
      </c>
      <c r="C45" s="3"/>
      <c r="D45" s="3">
        <v>0.05</v>
      </c>
    </row>
    <row r="46" spans="1:4">
      <c r="A46" s="3" t="s">
        <v>152</v>
      </c>
      <c r="B46" s="3">
        <v>0</v>
      </c>
      <c r="C46" s="3"/>
      <c r="D46" s="3">
        <v>0.1</v>
      </c>
    </row>
    <row r="47" spans="1:4">
      <c r="A47" s="3" t="s">
        <v>152</v>
      </c>
      <c r="B47" s="3">
        <v>1</v>
      </c>
      <c r="C47" s="3"/>
      <c r="D47" s="3">
        <v>0.1</v>
      </c>
    </row>
    <row r="48" spans="1:4">
      <c r="A48" s="3" t="s">
        <v>152</v>
      </c>
      <c r="B48" s="3">
        <v>2</v>
      </c>
      <c r="C48" s="3"/>
      <c r="D48" s="3">
        <v>0.1</v>
      </c>
    </row>
    <row r="49" spans="1:4">
      <c r="A49" s="3" t="s">
        <v>152</v>
      </c>
      <c r="B49" s="3">
        <v>3</v>
      </c>
      <c r="C49" s="3"/>
      <c r="D49" s="3">
        <v>0.08</v>
      </c>
    </row>
    <row r="50" spans="1:4">
      <c r="A50" s="3" t="s">
        <v>152</v>
      </c>
      <c r="B50" s="3">
        <v>5</v>
      </c>
      <c r="C50" s="3"/>
      <c r="D50" s="3">
        <v>0.05</v>
      </c>
    </row>
    <row r="51" spans="1:4">
      <c r="A51" s="3" t="s">
        <v>153</v>
      </c>
      <c r="B51" s="3">
        <v>0</v>
      </c>
      <c r="C51" s="3"/>
      <c r="D51" s="3">
        <v>0.15</v>
      </c>
    </row>
    <row r="52" spans="1:4">
      <c r="A52" s="3" t="s">
        <v>153</v>
      </c>
      <c r="B52" s="3">
        <v>1</v>
      </c>
      <c r="C52" s="3"/>
      <c r="D52" s="3">
        <v>0.15</v>
      </c>
    </row>
    <row r="53" spans="1:4">
      <c r="A53" s="3" t="s">
        <v>153</v>
      </c>
      <c r="B53" s="3">
        <v>2</v>
      </c>
      <c r="C53" s="3"/>
      <c r="D53" s="3">
        <v>0.1</v>
      </c>
    </row>
    <row r="54" spans="1:4">
      <c r="A54" s="3" t="s">
        <v>153</v>
      </c>
      <c r="B54" s="3">
        <v>3</v>
      </c>
      <c r="C54" s="3"/>
      <c r="D54" s="3">
        <v>0.1</v>
      </c>
    </row>
  </sheetData>
  <mergeCells count="3">
    <mergeCell ref="A1:D1"/>
    <mergeCell ref="A25:D25"/>
    <mergeCell ref="A38:D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2.7109375" customWidth="1"/>
    <col min="2" max="2" width="14.7109375" customWidth="1"/>
    <col min="3" max="4" width="10.7109375" customWidth="1"/>
    <col min="5" max="5" width="12.7109375" customWidth="1"/>
    <col min="6" max="6" width="28.7109375" customWidth="1"/>
  </cols>
  <sheetData>
    <row r="1" spans="1:6">
      <c r="A1" s="1" t="s">
        <v>163</v>
      </c>
      <c r="B1" s="1"/>
      <c r="C1" s="1"/>
      <c r="D1" s="1"/>
      <c r="E1" s="1"/>
      <c r="F1" s="1"/>
    </row>
    <row r="2" spans="1:6">
      <c r="A2" s="4" t="s">
        <v>137</v>
      </c>
      <c r="B2" s="4" t="s">
        <v>164</v>
      </c>
      <c r="C2" s="4" t="s">
        <v>165</v>
      </c>
      <c r="D2" s="4" t="s">
        <v>166</v>
      </c>
      <c r="E2" s="4" t="s">
        <v>167</v>
      </c>
      <c r="F2" s="4" t="s">
        <v>3</v>
      </c>
    </row>
    <row r="3" spans="1:6">
      <c r="A3" s="3" t="s">
        <v>43</v>
      </c>
      <c r="B3" s="3" t="s">
        <v>168</v>
      </c>
      <c r="C3" s="3">
        <v>0</v>
      </c>
      <c r="D3" s="3">
        <v>365</v>
      </c>
      <c r="E3" s="3">
        <v>0.5</v>
      </c>
      <c r="F3" s="3" t="s">
        <v>169</v>
      </c>
    </row>
    <row r="4" spans="1:6">
      <c r="A4" s="3" t="s">
        <v>43</v>
      </c>
      <c r="B4" s="3" t="s">
        <v>168</v>
      </c>
      <c r="C4" s="3">
        <v>366</v>
      </c>
      <c r="D4" s="3">
        <v>9999</v>
      </c>
      <c r="E4" s="3">
        <v>0.75</v>
      </c>
      <c r="F4" s="3" t="s">
        <v>170</v>
      </c>
    </row>
    <row r="5" spans="1:6">
      <c r="A5" s="3" t="s">
        <v>43</v>
      </c>
      <c r="B5" s="3" t="s">
        <v>171</v>
      </c>
      <c r="C5" s="3">
        <v>0</v>
      </c>
      <c r="D5" s="3">
        <v>9999</v>
      </c>
      <c r="E5" s="3">
        <v>0</v>
      </c>
      <c r="F5" s="3" t="s">
        <v>172</v>
      </c>
    </row>
    <row r="6" spans="1:6">
      <c r="A6" s="3" t="s">
        <v>46</v>
      </c>
      <c r="B6" s="3" t="s">
        <v>168</v>
      </c>
      <c r="C6" s="3">
        <v>0</v>
      </c>
      <c r="D6" s="3">
        <v>9999</v>
      </c>
      <c r="E6" s="3">
        <v>0.2</v>
      </c>
      <c r="F6" s="3" t="s">
        <v>173</v>
      </c>
    </row>
    <row r="7" spans="1:6">
      <c r="A7" s="3" t="s">
        <v>48</v>
      </c>
      <c r="B7" s="3" t="s">
        <v>168</v>
      </c>
      <c r="C7" s="3">
        <v>0</v>
      </c>
      <c r="D7" s="3">
        <v>180</v>
      </c>
      <c r="E7" s="3">
        <v>0.3</v>
      </c>
      <c r="F7" s="3" t="s">
        <v>174</v>
      </c>
    </row>
    <row r="8" spans="1:6">
      <c r="A8" s="3" t="s">
        <v>48</v>
      </c>
      <c r="B8" s="3" t="s">
        <v>168</v>
      </c>
      <c r="C8" s="3">
        <v>181</v>
      </c>
      <c r="D8" s="3">
        <v>9999</v>
      </c>
      <c r="E8" s="3">
        <v>0.5</v>
      </c>
      <c r="F8" s="3" t="s">
        <v>175</v>
      </c>
    </row>
    <row r="9" spans="1:6">
      <c r="A9" s="3" t="s">
        <v>55</v>
      </c>
      <c r="B9" s="3" t="s">
        <v>168</v>
      </c>
      <c r="C9" s="3">
        <v>0</v>
      </c>
      <c r="D9" s="3">
        <v>365</v>
      </c>
      <c r="E9" s="3">
        <v>0.4</v>
      </c>
      <c r="F9" s="3" t="s">
        <v>176</v>
      </c>
    </row>
    <row r="10" spans="1:6">
      <c r="A10" s="3" t="s">
        <v>55</v>
      </c>
      <c r="B10" s="3" t="s">
        <v>168</v>
      </c>
      <c r="C10" s="3">
        <v>366</v>
      </c>
      <c r="D10" s="3">
        <v>9999</v>
      </c>
      <c r="E10" s="3">
        <v>0.6</v>
      </c>
      <c r="F10" s="3" t="s">
        <v>177</v>
      </c>
    </row>
    <row r="11" spans="1:6">
      <c r="A11" s="3" t="s">
        <v>143</v>
      </c>
      <c r="B11" s="3" t="s">
        <v>168</v>
      </c>
      <c r="C11" s="3">
        <v>0</v>
      </c>
      <c r="D11" s="3">
        <v>9999</v>
      </c>
      <c r="E11" s="3">
        <v>0.5</v>
      </c>
      <c r="F11" s="3" t="s">
        <v>178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1" width="10.7109375" customWidth="1"/>
    <col min="2" max="3" width="12.7109375" customWidth="1"/>
    <col min="4" max="5" width="14.7109375" customWidth="1"/>
    <col min="6" max="6" width="8.7109375" customWidth="1"/>
    <col min="7" max="8" width="12.7109375" customWidth="1"/>
    <col min="9" max="9" width="40.7109375" customWidth="1"/>
    <col min="10" max="10" width="28.7109375" customWidth="1"/>
  </cols>
  <sheetData>
    <row r="1" spans="1:10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4" t="s">
        <v>180</v>
      </c>
      <c r="B2" s="4" t="s">
        <v>64</v>
      </c>
      <c r="C2" s="4" t="s">
        <v>181</v>
      </c>
      <c r="D2" s="4" t="s">
        <v>182</v>
      </c>
      <c r="E2" s="4" t="s">
        <v>183</v>
      </c>
      <c r="F2" s="4" t="s">
        <v>34</v>
      </c>
      <c r="G2" s="4" t="s">
        <v>184</v>
      </c>
      <c r="H2" s="4" t="s">
        <v>185</v>
      </c>
      <c r="I2" s="4" t="s">
        <v>186</v>
      </c>
      <c r="J2" s="4" t="s">
        <v>3</v>
      </c>
    </row>
    <row r="3" spans="1:10">
      <c r="A3" s="3" t="s">
        <v>187</v>
      </c>
      <c r="B3" s="3" t="s">
        <v>188</v>
      </c>
      <c r="C3" s="3" t="s">
        <v>189</v>
      </c>
      <c r="D3" s="3" t="s">
        <v>190</v>
      </c>
      <c r="E3" s="3">
        <v>30</v>
      </c>
      <c r="F3" s="3">
        <v>1</v>
      </c>
      <c r="G3" s="3" t="s">
        <v>191</v>
      </c>
      <c r="H3" s="3"/>
      <c r="I3" s="3" t="s">
        <v>79</v>
      </c>
      <c r="J3" s="3" t="s">
        <v>192</v>
      </c>
    </row>
    <row r="4" spans="1:10">
      <c r="A4" s="3" t="s">
        <v>193</v>
      </c>
      <c r="B4" s="3" t="s">
        <v>188</v>
      </c>
      <c r="C4" s="3" t="s">
        <v>189</v>
      </c>
      <c r="D4" s="3" t="s">
        <v>194</v>
      </c>
      <c r="E4" s="3">
        <v>0.05</v>
      </c>
      <c r="F4" s="3">
        <v>2</v>
      </c>
      <c r="G4" s="3" t="s">
        <v>191</v>
      </c>
      <c r="H4" s="3"/>
      <c r="I4" s="3" t="s">
        <v>195</v>
      </c>
      <c r="J4" s="3" t="s">
        <v>196</v>
      </c>
    </row>
    <row r="5" spans="1:10">
      <c r="A5" s="3" t="s">
        <v>197</v>
      </c>
      <c r="B5" s="3" t="s">
        <v>40</v>
      </c>
      <c r="C5" s="3" t="s">
        <v>198</v>
      </c>
      <c r="D5" s="3" t="s">
        <v>199</v>
      </c>
      <c r="E5" s="3">
        <v>5000</v>
      </c>
      <c r="F5" s="3">
        <v>1</v>
      </c>
      <c r="G5" s="3" t="s">
        <v>29</v>
      </c>
      <c r="H5" s="3" t="s">
        <v>200</v>
      </c>
      <c r="I5" s="3" t="s">
        <v>201</v>
      </c>
      <c r="J5" s="3" t="s">
        <v>202</v>
      </c>
    </row>
    <row r="6" spans="1:10">
      <c r="A6" s="3" t="s">
        <v>203</v>
      </c>
      <c r="B6" s="3" t="s">
        <v>40</v>
      </c>
      <c r="C6" s="3" t="s">
        <v>198</v>
      </c>
      <c r="D6" s="3" t="s">
        <v>190</v>
      </c>
      <c r="E6" s="3">
        <v>100</v>
      </c>
      <c r="F6" s="3">
        <v>2</v>
      </c>
      <c r="G6" s="3" t="s">
        <v>29</v>
      </c>
      <c r="H6" s="3"/>
      <c r="I6" s="3" t="s">
        <v>204</v>
      </c>
      <c r="J6" s="3" t="s">
        <v>205</v>
      </c>
    </row>
    <row r="7" spans="1:10">
      <c r="A7" s="3" t="s">
        <v>206</v>
      </c>
      <c r="B7" s="3" t="s">
        <v>52</v>
      </c>
      <c r="C7" s="3" t="s">
        <v>198</v>
      </c>
      <c r="D7" s="3" t="s">
        <v>194</v>
      </c>
      <c r="E7" s="3">
        <v>0.1</v>
      </c>
      <c r="F7" s="3">
        <v>1</v>
      </c>
      <c r="G7" s="3" t="s">
        <v>191</v>
      </c>
      <c r="H7" s="3"/>
      <c r="I7" s="3" t="s">
        <v>76</v>
      </c>
      <c r="J7" s="3" t="s">
        <v>207</v>
      </c>
    </row>
    <row r="8" spans="1:10">
      <c r="A8" s="3" t="s">
        <v>208</v>
      </c>
      <c r="B8" s="3" t="s">
        <v>52</v>
      </c>
      <c r="C8" s="3" t="s">
        <v>198</v>
      </c>
      <c r="D8" s="3" t="s">
        <v>190</v>
      </c>
      <c r="E8" s="3">
        <v>50</v>
      </c>
      <c r="F8" s="3">
        <v>2</v>
      </c>
      <c r="G8" s="3" t="s">
        <v>191</v>
      </c>
      <c r="H8" s="3"/>
      <c r="I8" s="3" t="s">
        <v>79</v>
      </c>
      <c r="J8" s="3" t="s">
        <v>209</v>
      </c>
    </row>
    <row r="9" spans="1:10">
      <c r="A9" s="3" t="s">
        <v>210</v>
      </c>
      <c r="B9" s="3" t="s">
        <v>58</v>
      </c>
      <c r="C9" s="3" t="s">
        <v>198</v>
      </c>
      <c r="D9" s="3" t="s">
        <v>194</v>
      </c>
      <c r="E9" s="3">
        <v>0.15</v>
      </c>
      <c r="F9" s="3">
        <v>1</v>
      </c>
      <c r="G9" s="3" t="s">
        <v>29</v>
      </c>
      <c r="H9" s="3" t="s">
        <v>211</v>
      </c>
      <c r="I9" s="3" t="s">
        <v>79</v>
      </c>
      <c r="J9" s="3" t="s">
        <v>212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cols>
    <col min="1" max="1" width="8.7109375" customWidth="1"/>
    <col min="2" max="3" width="10.7109375" customWidth="1"/>
    <col min="4" max="4" width="8.7109375" customWidth="1"/>
    <col min="5" max="7" width="10.7109375" customWidth="1"/>
    <col min="8" max="8" width="8.7109375" customWidth="1"/>
    <col min="9" max="9" width="10.7109375" customWidth="1"/>
    <col min="10" max="12" width="8.7109375" customWidth="1"/>
    <col min="13" max="14" width="12.7109375" customWidth="1"/>
    <col min="15" max="15" width="10.7109375" customWidth="1"/>
    <col min="16" max="17" width="12.7109375" customWidth="1"/>
    <col min="18" max="18" width="8.7109375" customWidth="1"/>
    <col min="19" max="19" width="10.7109375" customWidth="1"/>
    <col min="20" max="20" width="12.7109375" customWidth="1"/>
    <col min="21" max="21" width="10.7109375" customWidth="1"/>
    <col min="22" max="22" width="8.7109375" customWidth="1"/>
    <col min="23" max="23" width="28.7109375" customWidth="1"/>
  </cols>
  <sheetData>
    <row r="1" spans="1:23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4" t="s">
        <v>214</v>
      </c>
      <c r="B2" s="4" t="s">
        <v>215</v>
      </c>
      <c r="C2" s="4" t="s">
        <v>64</v>
      </c>
      <c r="D2" s="4" t="s">
        <v>216</v>
      </c>
      <c r="E2" s="4" t="s">
        <v>137</v>
      </c>
      <c r="F2" s="4" t="s">
        <v>217</v>
      </c>
      <c r="G2" s="4" t="s">
        <v>136</v>
      </c>
      <c r="H2" s="4" t="s">
        <v>218</v>
      </c>
      <c r="I2" s="4" t="s">
        <v>219</v>
      </c>
      <c r="J2" s="4" t="s">
        <v>220</v>
      </c>
      <c r="K2" s="4" t="s">
        <v>221</v>
      </c>
      <c r="L2" s="4" t="s">
        <v>222</v>
      </c>
      <c r="M2" s="4" t="s">
        <v>223</v>
      </c>
      <c r="N2" s="4" t="s">
        <v>224</v>
      </c>
      <c r="O2" s="4" t="s">
        <v>225</v>
      </c>
      <c r="P2" s="4" t="s">
        <v>226</v>
      </c>
      <c r="Q2" s="4" t="s">
        <v>227</v>
      </c>
      <c r="R2" s="4" t="s">
        <v>228</v>
      </c>
      <c r="S2" s="4" t="s">
        <v>164</v>
      </c>
      <c r="T2" s="4" t="s">
        <v>229</v>
      </c>
      <c r="U2" s="4" t="s">
        <v>230</v>
      </c>
      <c r="V2" s="4" t="s">
        <v>231</v>
      </c>
      <c r="W2" s="4" t="s">
        <v>232</v>
      </c>
    </row>
    <row r="3" spans="1:23">
      <c r="A3" s="3" t="s">
        <v>233</v>
      </c>
      <c r="B3" s="3" t="s">
        <v>234</v>
      </c>
      <c r="C3" s="3" t="s">
        <v>40</v>
      </c>
      <c r="D3" s="3" t="s">
        <v>42</v>
      </c>
      <c r="E3" s="3" t="s">
        <v>43</v>
      </c>
      <c r="F3" s="3" t="s">
        <v>235</v>
      </c>
      <c r="G3" s="3" t="s">
        <v>44</v>
      </c>
      <c r="H3" s="3">
        <v>0</v>
      </c>
      <c r="I3" s="3" t="s">
        <v>236</v>
      </c>
      <c r="J3" s="3" t="s">
        <v>237</v>
      </c>
      <c r="K3" s="3" t="s">
        <v>115</v>
      </c>
      <c r="L3" s="3" t="s">
        <v>114</v>
      </c>
      <c r="M3" s="3" t="s">
        <v>238</v>
      </c>
      <c r="N3" s="3">
        <v>95000</v>
      </c>
      <c r="O3" s="3">
        <v>500</v>
      </c>
      <c r="P3" s="3">
        <v>200000</v>
      </c>
      <c r="Q3" s="3">
        <v>100000</v>
      </c>
      <c r="R3" s="3" t="s">
        <v>239</v>
      </c>
      <c r="S3" s="3" t="s">
        <v>168</v>
      </c>
      <c r="T3" s="3"/>
      <c r="U3" s="3" t="s">
        <v>78</v>
      </c>
      <c r="V3" s="3">
        <v>365</v>
      </c>
      <c r="W3" s="3" t="s">
        <v>240</v>
      </c>
    </row>
    <row r="4" spans="1:23">
      <c r="A4" s="3" t="s">
        <v>241</v>
      </c>
      <c r="B4" s="3" t="s">
        <v>242</v>
      </c>
      <c r="C4" s="3" t="s">
        <v>40</v>
      </c>
      <c r="D4" s="3" t="s">
        <v>42</v>
      </c>
      <c r="E4" s="3" t="s">
        <v>43</v>
      </c>
      <c r="F4" s="3" t="s">
        <v>243</v>
      </c>
      <c r="G4" s="3" t="s">
        <v>44</v>
      </c>
      <c r="H4" s="3">
        <v>45</v>
      </c>
      <c r="I4" s="3" t="s">
        <v>119</v>
      </c>
      <c r="J4" s="3" t="s">
        <v>237</v>
      </c>
      <c r="K4" s="3" t="s">
        <v>99</v>
      </c>
      <c r="L4" s="3" t="s">
        <v>117</v>
      </c>
      <c r="M4" s="3" t="s">
        <v>244</v>
      </c>
      <c r="N4" s="3">
        <v>480000</v>
      </c>
      <c r="O4" s="3">
        <v>2500</v>
      </c>
      <c r="P4" s="3">
        <v>600000</v>
      </c>
      <c r="Q4" s="3">
        <v>500000</v>
      </c>
      <c r="R4" s="3" t="s">
        <v>239</v>
      </c>
      <c r="S4" s="3" t="s">
        <v>168</v>
      </c>
      <c r="T4" s="3"/>
      <c r="U4" s="3" t="s">
        <v>78</v>
      </c>
      <c r="V4" s="3">
        <v>200</v>
      </c>
      <c r="W4" s="3" t="s">
        <v>245</v>
      </c>
    </row>
    <row r="5" spans="1:23">
      <c r="A5" s="3" t="s">
        <v>246</v>
      </c>
      <c r="B5" s="3" t="s">
        <v>247</v>
      </c>
      <c r="C5" s="3" t="s">
        <v>40</v>
      </c>
      <c r="D5" s="3" t="s">
        <v>42</v>
      </c>
      <c r="E5" s="3" t="s">
        <v>46</v>
      </c>
      <c r="F5" s="3" t="s">
        <v>248</v>
      </c>
      <c r="G5" s="3" t="s">
        <v>139</v>
      </c>
      <c r="H5" s="3">
        <v>365</v>
      </c>
      <c r="I5" s="3" t="s">
        <v>249</v>
      </c>
      <c r="J5" s="3" t="s">
        <v>250</v>
      </c>
      <c r="K5" s="3" t="s">
        <v>105</v>
      </c>
      <c r="L5" s="3" t="s">
        <v>103</v>
      </c>
      <c r="M5" s="3" t="s">
        <v>200</v>
      </c>
      <c r="N5" s="3">
        <v>1800000</v>
      </c>
      <c r="O5" s="3">
        <v>50000</v>
      </c>
      <c r="P5" s="3">
        <v>2000000</v>
      </c>
      <c r="Q5" s="3">
        <v>2000000</v>
      </c>
      <c r="R5" s="3" t="s">
        <v>239</v>
      </c>
      <c r="S5" s="3" t="s">
        <v>171</v>
      </c>
      <c r="T5" s="3"/>
      <c r="U5" s="3" t="s">
        <v>78</v>
      </c>
      <c r="V5" s="3">
        <v>0</v>
      </c>
      <c r="W5" s="3" t="s">
        <v>251</v>
      </c>
    </row>
    <row r="6" spans="1:23">
      <c r="A6" s="3" t="s">
        <v>252</v>
      </c>
      <c r="B6" s="3" t="s">
        <v>253</v>
      </c>
      <c r="C6" s="3" t="s">
        <v>40</v>
      </c>
      <c r="D6" s="3" t="s">
        <v>42</v>
      </c>
      <c r="E6" s="3" t="s">
        <v>43</v>
      </c>
      <c r="F6" s="3" t="s">
        <v>254</v>
      </c>
      <c r="G6" s="3" t="s">
        <v>255</v>
      </c>
      <c r="H6" s="3">
        <v>0</v>
      </c>
      <c r="I6" s="3" t="s">
        <v>236</v>
      </c>
      <c r="J6" s="3" t="s">
        <v>237</v>
      </c>
      <c r="K6" s="3" t="s">
        <v>114</v>
      </c>
      <c r="L6" s="3" t="s">
        <v>112</v>
      </c>
      <c r="M6" s="3" t="s">
        <v>256</v>
      </c>
      <c r="N6" s="3">
        <v>0</v>
      </c>
      <c r="O6" s="3">
        <v>0</v>
      </c>
      <c r="P6" s="3">
        <v>300000</v>
      </c>
      <c r="Q6" s="3">
        <v>0</v>
      </c>
      <c r="R6" s="3" t="s">
        <v>257</v>
      </c>
      <c r="S6" s="3" t="s">
        <v>168</v>
      </c>
      <c r="T6" s="3"/>
      <c r="U6" s="3" t="s">
        <v>78</v>
      </c>
      <c r="V6" s="3">
        <v>365</v>
      </c>
      <c r="W6" s="3" t="s">
        <v>258</v>
      </c>
    </row>
    <row r="7" spans="1:23">
      <c r="A7" s="3" t="s">
        <v>259</v>
      </c>
      <c r="B7" s="3" t="s">
        <v>260</v>
      </c>
      <c r="C7" s="3" t="s">
        <v>52</v>
      </c>
      <c r="D7" s="3" t="s">
        <v>54</v>
      </c>
      <c r="E7" s="3" t="s">
        <v>55</v>
      </c>
      <c r="F7" s="3" t="s">
        <v>261</v>
      </c>
      <c r="G7" s="3" t="s">
        <v>44</v>
      </c>
      <c r="H7" s="3">
        <v>30</v>
      </c>
      <c r="I7" s="3" t="s">
        <v>119</v>
      </c>
      <c r="J7" s="3" t="s">
        <v>237</v>
      </c>
      <c r="K7" s="3" t="s">
        <v>99</v>
      </c>
      <c r="L7" s="3" t="s">
        <v>115</v>
      </c>
      <c r="M7" s="3" t="s">
        <v>262</v>
      </c>
      <c r="N7" s="3">
        <v>280000</v>
      </c>
      <c r="O7" s="3">
        <v>1200</v>
      </c>
      <c r="P7" s="3">
        <v>350000</v>
      </c>
      <c r="Q7" s="3">
        <v>300000</v>
      </c>
      <c r="R7" s="3" t="s">
        <v>239</v>
      </c>
      <c r="S7" s="3" t="s">
        <v>168</v>
      </c>
      <c r="T7" s="3" t="s">
        <v>263</v>
      </c>
      <c r="U7" s="3" t="s">
        <v>78</v>
      </c>
      <c r="V7" s="3">
        <v>180</v>
      </c>
      <c r="W7" s="3" t="s">
        <v>264</v>
      </c>
    </row>
    <row r="8" spans="1:23">
      <c r="A8" s="3" t="s">
        <v>265</v>
      </c>
      <c r="B8" s="3" t="s">
        <v>266</v>
      </c>
      <c r="C8" s="3" t="s">
        <v>58</v>
      </c>
      <c r="D8" s="3" t="s">
        <v>60</v>
      </c>
      <c r="E8" s="3" t="s">
        <v>143</v>
      </c>
      <c r="F8" s="3" t="s">
        <v>267</v>
      </c>
      <c r="G8" s="3" t="s">
        <v>139</v>
      </c>
      <c r="H8" s="3">
        <v>60</v>
      </c>
      <c r="I8" s="3" t="s">
        <v>268</v>
      </c>
      <c r="J8" s="3" t="s">
        <v>237</v>
      </c>
      <c r="K8" s="3" t="s">
        <v>101</v>
      </c>
      <c r="L8" s="3" t="s">
        <v>99</v>
      </c>
      <c r="M8" s="3" t="s">
        <v>269</v>
      </c>
      <c r="N8" s="3">
        <v>85000</v>
      </c>
      <c r="O8" s="3">
        <v>1500</v>
      </c>
      <c r="P8" s="3">
        <v>120000</v>
      </c>
      <c r="Q8" s="3">
        <v>100000</v>
      </c>
      <c r="R8" s="3" t="s">
        <v>239</v>
      </c>
      <c r="S8" s="3" t="s">
        <v>171</v>
      </c>
      <c r="T8" s="3"/>
      <c r="U8" s="3" t="s">
        <v>75</v>
      </c>
      <c r="V8" s="3">
        <v>90</v>
      </c>
      <c r="W8" s="3" t="s">
        <v>270</v>
      </c>
    </row>
    <row r="9" spans="1:23">
      <c r="A9" s="3" t="s">
        <v>271</v>
      </c>
      <c r="B9" s="3" t="s">
        <v>272</v>
      </c>
      <c r="C9" s="3" t="s">
        <v>52</v>
      </c>
      <c r="D9" s="3" t="s">
        <v>54</v>
      </c>
      <c r="E9" s="3" t="s">
        <v>55</v>
      </c>
      <c r="F9" s="3" t="s">
        <v>261</v>
      </c>
      <c r="G9" s="3" t="s">
        <v>142</v>
      </c>
      <c r="H9" s="3">
        <v>0</v>
      </c>
      <c r="I9" s="3" t="s">
        <v>236</v>
      </c>
      <c r="J9" s="3" t="s">
        <v>237</v>
      </c>
      <c r="K9" s="3" t="s">
        <v>117</v>
      </c>
      <c r="L9" s="3" t="s">
        <v>117</v>
      </c>
      <c r="M9" s="3" t="s">
        <v>273</v>
      </c>
      <c r="N9" s="3">
        <v>150000</v>
      </c>
      <c r="O9" s="3">
        <v>300</v>
      </c>
      <c r="P9" s="3">
        <v>200000</v>
      </c>
      <c r="Q9" s="3">
        <v>180000</v>
      </c>
      <c r="R9" s="3" t="s">
        <v>239</v>
      </c>
      <c r="S9" s="3" t="s">
        <v>168</v>
      </c>
      <c r="T9" s="3"/>
      <c r="U9" s="3" t="s">
        <v>75</v>
      </c>
      <c r="V9" s="3">
        <v>200</v>
      </c>
      <c r="W9" s="3" t="s">
        <v>274</v>
      </c>
    </row>
    <row r="10" spans="1:23">
      <c r="A10" s="3" t="s">
        <v>275</v>
      </c>
      <c r="B10" s="3" t="s">
        <v>276</v>
      </c>
      <c r="C10" s="3" t="s">
        <v>58</v>
      </c>
      <c r="D10" s="3" t="s">
        <v>60</v>
      </c>
      <c r="E10" s="3" t="s">
        <v>143</v>
      </c>
      <c r="F10" s="3" t="s">
        <v>235</v>
      </c>
      <c r="G10" s="3" t="s">
        <v>49</v>
      </c>
      <c r="H10" s="3">
        <v>0</v>
      </c>
      <c r="I10" s="3" t="s">
        <v>236</v>
      </c>
      <c r="J10" s="3" t="s">
        <v>237</v>
      </c>
      <c r="K10" s="3" t="s">
        <v>114</v>
      </c>
      <c r="L10" s="3" t="s">
        <v>114</v>
      </c>
      <c r="M10" s="3" t="s">
        <v>29</v>
      </c>
      <c r="N10" s="3">
        <v>50000</v>
      </c>
      <c r="O10" s="3">
        <v>200</v>
      </c>
      <c r="P10" s="3">
        <v>80000</v>
      </c>
      <c r="Q10" s="3">
        <v>50000</v>
      </c>
      <c r="R10" s="3" t="s">
        <v>239</v>
      </c>
      <c r="S10" s="3" t="s">
        <v>168</v>
      </c>
      <c r="T10" s="3"/>
      <c r="U10" s="3" t="s">
        <v>78</v>
      </c>
      <c r="V10" s="3">
        <v>60</v>
      </c>
      <c r="W10" s="3" t="s">
        <v>277</v>
      </c>
    </row>
  </sheetData>
  <mergeCells count="1">
    <mergeCell ref="A1:W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8.7109375" customWidth="1"/>
    <col min="2" max="2" width="10.7109375" customWidth="1"/>
    <col min="3" max="3" width="12.7109375" customWidth="1"/>
    <col min="4" max="5" width="10.7109375" customWidth="1"/>
    <col min="6" max="6" width="12.7109375" customWidth="1"/>
    <col min="7" max="7" width="14.7109375" customWidth="1"/>
    <col min="8" max="8" width="8.7109375" customWidth="1"/>
    <col min="9" max="9" width="14.7109375" customWidth="1"/>
    <col min="10" max="10" width="20.7109375" customWidth="1"/>
    <col min="11" max="12" width="14.7109375" customWidth="1"/>
    <col min="13" max="13" width="40.7109375" customWidth="1"/>
  </cols>
  <sheetData>
    <row r="1" spans="1:13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4" t="s">
        <v>214</v>
      </c>
      <c r="B2" s="4" t="s">
        <v>215</v>
      </c>
      <c r="C2" s="4" t="s">
        <v>279</v>
      </c>
      <c r="D2" s="4" t="s">
        <v>280</v>
      </c>
      <c r="E2" s="4" t="s">
        <v>281</v>
      </c>
      <c r="F2" s="4" t="s">
        <v>282</v>
      </c>
      <c r="G2" s="4" t="s">
        <v>283</v>
      </c>
      <c r="H2" s="4" t="s">
        <v>284</v>
      </c>
      <c r="I2" s="4" t="s">
        <v>285</v>
      </c>
      <c r="J2" s="4" t="s">
        <v>286</v>
      </c>
      <c r="K2" s="4" t="s">
        <v>287</v>
      </c>
      <c r="L2" s="4" t="s">
        <v>288</v>
      </c>
      <c r="M2" s="4" t="s">
        <v>3</v>
      </c>
    </row>
    <row r="3" spans="1:13">
      <c r="A3" s="3" t="s">
        <v>233</v>
      </c>
      <c r="B3" s="3" t="s">
        <v>234</v>
      </c>
      <c r="C3" s="3" t="s">
        <v>40</v>
      </c>
      <c r="D3" s="3" t="s">
        <v>78</v>
      </c>
      <c r="E3" s="3" t="s">
        <v>289</v>
      </c>
      <c r="F3" s="3">
        <f>PD12M</f>
        <v>0</v>
      </c>
      <c r="G3" s="3" t="s">
        <v>290</v>
      </c>
      <c r="H3" s="3" t="s">
        <v>291</v>
      </c>
      <c r="I3" s="3" t="s">
        <v>292</v>
      </c>
      <c r="J3" s="3" t="s">
        <v>293</v>
      </c>
      <c r="K3" s="3" t="s">
        <v>294</v>
      </c>
      <c r="L3" s="3" t="s">
        <v>295</v>
      </c>
      <c r="M3" s="3" t="s">
        <v>296</v>
      </c>
    </row>
    <row r="4" spans="1:13">
      <c r="A4" s="3" t="s">
        <v>241</v>
      </c>
      <c r="B4" s="3" t="s">
        <v>242</v>
      </c>
      <c r="C4" s="3" t="s">
        <v>40</v>
      </c>
      <c r="D4" s="3" t="s">
        <v>75</v>
      </c>
      <c r="E4" s="3" t="s">
        <v>297</v>
      </c>
      <c r="F4" s="3" t="s">
        <v>298</v>
      </c>
      <c r="G4" s="3" t="s">
        <v>299</v>
      </c>
      <c r="H4" s="3" t="s">
        <v>291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</row>
    <row r="5" spans="1:13">
      <c r="A5" s="3" t="s">
        <v>246</v>
      </c>
      <c r="B5" s="3" t="s">
        <v>247</v>
      </c>
      <c r="C5" s="3" t="s">
        <v>305</v>
      </c>
      <c r="D5" s="3" t="s">
        <v>70</v>
      </c>
      <c r="E5" s="3" t="s">
        <v>306</v>
      </c>
      <c r="F5" s="3" t="s">
        <v>307</v>
      </c>
      <c r="G5" s="3" t="s">
        <v>308</v>
      </c>
      <c r="H5" s="3" t="s">
        <v>309</v>
      </c>
      <c r="I5" s="3" t="s">
        <v>310</v>
      </c>
      <c r="J5" s="3" t="s">
        <v>311</v>
      </c>
      <c r="K5" s="3" t="s">
        <v>312</v>
      </c>
      <c r="L5" s="3" t="s">
        <v>313</v>
      </c>
      <c r="M5" s="3" t="s">
        <v>314</v>
      </c>
    </row>
    <row r="6" spans="1:13">
      <c r="A6" s="3" t="s">
        <v>252</v>
      </c>
      <c r="B6" s="3" t="s">
        <v>253</v>
      </c>
      <c r="C6" s="3" t="s">
        <v>40</v>
      </c>
      <c r="D6" s="3" t="s">
        <v>78</v>
      </c>
      <c r="E6" s="3" t="s">
        <v>315</v>
      </c>
      <c r="F6" s="3">
        <f>PD12M</f>
        <v>0</v>
      </c>
      <c r="G6" s="3" t="s">
        <v>316</v>
      </c>
      <c r="H6" s="3" t="s">
        <v>291</v>
      </c>
      <c r="I6" s="3" t="s">
        <v>317</v>
      </c>
      <c r="J6" s="3" t="s">
        <v>293</v>
      </c>
      <c r="K6" s="3" t="s">
        <v>318</v>
      </c>
      <c r="L6" s="3" t="s">
        <v>319</v>
      </c>
      <c r="M6" s="3" t="s">
        <v>320</v>
      </c>
    </row>
    <row r="7" spans="1:13">
      <c r="A7" s="3" t="s">
        <v>259</v>
      </c>
      <c r="B7" s="3" t="s">
        <v>260</v>
      </c>
      <c r="C7" s="3" t="s">
        <v>52</v>
      </c>
      <c r="D7" s="3" t="s">
        <v>75</v>
      </c>
      <c r="E7" s="3" t="s">
        <v>321</v>
      </c>
      <c r="F7" s="3" t="s">
        <v>322</v>
      </c>
      <c r="G7" s="3" t="s">
        <v>323</v>
      </c>
      <c r="H7" s="3" t="s">
        <v>324</v>
      </c>
      <c r="I7" s="3" t="s">
        <v>325</v>
      </c>
      <c r="J7" s="3" t="s">
        <v>326</v>
      </c>
      <c r="K7" s="3" t="s">
        <v>327</v>
      </c>
      <c r="L7" s="3" t="s">
        <v>328</v>
      </c>
      <c r="M7" s="3" t="s">
        <v>329</v>
      </c>
    </row>
    <row r="8" spans="1:13">
      <c r="A8" s="3" t="s">
        <v>265</v>
      </c>
      <c r="B8" s="3" t="s">
        <v>266</v>
      </c>
      <c r="C8" s="3" t="s">
        <v>58</v>
      </c>
      <c r="D8" s="3" t="s">
        <v>75</v>
      </c>
      <c r="E8" s="3" t="s">
        <v>330</v>
      </c>
      <c r="F8" s="3" t="s">
        <v>331</v>
      </c>
      <c r="G8" s="3" t="s">
        <v>332</v>
      </c>
      <c r="H8" s="3" t="s">
        <v>333</v>
      </c>
      <c r="I8" s="3" t="s">
        <v>334</v>
      </c>
      <c r="J8" s="3" t="s">
        <v>212</v>
      </c>
      <c r="K8" s="3" t="s">
        <v>335</v>
      </c>
      <c r="L8" s="3" t="s">
        <v>336</v>
      </c>
      <c r="M8" s="3" t="s">
        <v>337</v>
      </c>
    </row>
    <row r="9" spans="1:13">
      <c r="A9" s="3" t="s">
        <v>271</v>
      </c>
      <c r="B9" s="3" t="s">
        <v>272</v>
      </c>
      <c r="C9" s="3" t="s">
        <v>52</v>
      </c>
      <c r="D9" s="3" t="s">
        <v>338</v>
      </c>
      <c r="E9" s="3" t="s">
        <v>339</v>
      </c>
      <c r="F9" s="3">
        <f>PD12M</f>
        <v>0</v>
      </c>
      <c r="G9" s="3" t="s">
        <v>340</v>
      </c>
      <c r="H9" s="3" t="s">
        <v>341</v>
      </c>
      <c r="I9" s="3" t="s">
        <v>342</v>
      </c>
      <c r="J9" s="3" t="s">
        <v>343</v>
      </c>
      <c r="K9" s="3" t="s">
        <v>344</v>
      </c>
      <c r="L9" s="3" t="s">
        <v>345</v>
      </c>
      <c r="M9" s="3" t="s">
        <v>346</v>
      </c>
    </row>
    <row r="10" spans="1:13">
      <c r="A10" s="3" t="s">
        <v>275</v>
      </c>
      <c r="B10" s="3" t="s">
        <v>276</v>
      </c>
      <c r="C10" s="3" t="s">
        <v>58</v>
      </c>
      <c r="D10" s="3" t="s">
        <v>347</v>
      </c>
      <c r="E10" s="3" t="s">
        <v>347</v>
      </c>
      <c r="F10" s="3" t="s">
        <v>347</v>
      </c>
      <c r="G10" s="3" t="s">
        <v>348</v>
      </c>
      <c r="H10" s="3" t="s">
        <v>349</v>
      </c>
      <c r="I10" s="3" t="s">
        <v>347</v>
      </c>
      <c r="J10" s="3" t="s">
        <v>212</v>
      </c>
      <c r="K10" s="3" t="s">
        <v>347</v>
      </c>
      <c r="L10" s="3" t="s">
        <v>347</v>
      </c>
      <c r="M10" s="3" t="s">
        <v>350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方案主数据</vt:lpstr>
      <vt:lpstr>风险分组配置</vt:lpstr>
      <vt:lpstr>阶段规则</vt:lpstr>
      <vt:lpstr>PD曲线矩阵</vt:lpstr>
      <vt:lpstr>LGD配置</vt:lpstr>
      <vt:lpstr>CCF曲线</vt:lpstr>
      <vt:lpstr>叠加规则</vt:lpstr>
      <vt:lpstr>试算输入数据</vt:lpstr>
      <vt:lpstr>试算预期结果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2026-07-01T11:15:28Z</dcterms:created>
  <dcterms:modified xsi:type="dcterms:W3CDTF">2026-07-01T11:15:28Z</dcterms:modified>
</cp:coreProperties>
</file>