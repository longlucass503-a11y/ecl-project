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主数据" sheetId="1" state="visible" r:id="rId1"/>
    <sheet xmlns:r="http://schemas.openxmlformats.org/officeDocument/2006/relationships" name="风险分组配置" sheetId="2" state="visible" r:id="rId2"/>
    <sheet xmlns:r="http://schemas.openxmlformats.org/officeDocument/2006/relationships" name="阶段规则" sheetId="3" state="visible" r:id="rId3"/>
    <sheet xmlns:r="http://schemas.openxmlformats.org/officeDocument/2006/relationships" name="PD曲线矩阵" sheetId="4" state="visible" r:id="rId4"/>
    <sheet xmlns:r="http://schemas.openxmlformats.org/officeDocument/2006/relationships" name="LGD配置" sheetId="5" state="visible" r:id="rId5"/>
    <sheet xmlns:r="http://schemas.openxmlformats.org/officeDocument/2006/relationships" name="CCF曲线" sheetId="6" state="visible" r:id="rId6"/>
    <sheet xmlns:r="http://schemas.openxmlformats.org/officeDocument/2006/relationships" name="叠加规则" sheetId="7" state="visible" r:id="rId7"/>
    <sheet xmlns:r="http://schemas.openxmlformats.org/officeDocument/2006/relationships" name="试算输入数据" sheetId="8" state="visible" r:id="rId8"/>
    <sheet xmlns:r="http://schemas.openxmlformats.org/officeDocument/2006/relationships" name="试算预期结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808080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1" t="inlineStr">
        <is>
          <t>SCH_005「字典下拉测试」方案 — 主数据</t>
        </is>
      </c>
    </row>
    <row r="2">
      <c r="A2" s="2" t="inlineStr">
        <is>
          <t>参数名称</t>
        </is>
      </c>
      <c r="B2" s="2" t="inlineStr">
        <is>
          <t>参数值</t>
        </is>
      </c>
      <c r="C2" s="2" t="inlineStr">
        <is>
          <t>说明</t>
        </is>
      </c>
    </row>
    <row r="3">
      <c r="A3" s="3" t="inlineStr">
        <is>
          <t>方案名称</t>
        </is>
      </c>
      <c r="B3" s="3" t="inlineStr">
        <is>
          <t>字典下拉测试</t>
        </is>
      </c>
      <c r="C3" s="4" t="inlineStr">
        <is>
          <t>UAT测试创建的验证方案（当前EFFECTIVE）</t>
        </is>
      </c>
    </row>
    <row r="4">
      <c r="A4" s="3" t="inlineStr">
        <is>
          <t>方案版本</t>
        </is>
      </c>
      <c r="B4" s="3" t="inlineStr">
        <is>
          <t>v1.0</t>
        </is>
      </c>
      <c r="C4" s="4" t="inlineStr">
        <is>
          <t>初始版本</t>
        </is>
      </c>
    </row>
    <row r="5">
      <c r="A5" s="3" t="inlineStr">
        <is>
          <t>方案编码</t>
        </is>
      </c>
      <c r="B5" s="3" t="inlineStr">
        <is>
          <t>SCH_005</t>
        </is>
      </c>
      <c r="C5" s="4" t="inlineStr">
        <is>
          <t>系统自动生成</t>
        </is>
      </c>
    </row>
    <row r="6">
      <c r="A6" s="3" t="inlineStr">
        <is>
          <t>状态</t>
        </is>
      </c>
      <c r="B6" s="3" t="inlineStr">
        <is>
          <t>EFFECTIVE</t>
        </is>
      </c>
      <c r="C6" s="4" t="inlineStr">
        <is>
          <t>已生效（2026-07-08生效）</t>
        </is>
      </c>
    </row>
    <row r="7">
      <c r="A7" s="3" t="inlineStr">
        <is>
          <t>折现率 (discount_rate)</t>
        </is>
      </c>
      <c r="B7" s="3" t="inlineStr">
        <is>
          <t>0.0500 (5.00%)</t>
        </is>
      </c>
      <c r="C7" s="4" t="inlineStr">
        <is>
          <t>用于EAD未来现金流折现</t>
        </is>
      </c>
    </row>
    <row r="8">
      <c r="A8" s="3" t="inlineStr">
        <is>
          <t>缺省 CCF (default_ccf)</t>
        </is>
      </c>
      <c r="B8" s="3" t="inlineStr">
        <is>
          <t>0.2000 (20.00%)</t>
        </is>
      </c>
      <c r="C8" s="4" t="inlineStr">
        <is>
          <t>未配置CCF曲线时的缺省值</t>
        </is>
      </c>
    </row>
    <row r="9">
      <c r="A9" s="3" t="inlineStr">
        <is>
          <t>缺省 LGD (default_lgd)</t>
        </is>
      </c>
      <c r="B9" s="3" t="inlineStr">
        <is>
          <t>0.4500 (45.00%)</t>
        </is>
      </c>
      <c r="C9" s="4" t="inlineStr">
        <is>
          <t>未配置LGD曲线时的缺省值</t>
        </is>
      </c>
    </row>
    <row r="10">
      <c r="A10" s="3" t="inlineStr">
        <is>
          <t>LGD 下限 (lgd_floor)</t>
        </is>
      </c>
      <c r="B10" s="3" t="inlineStr">
        <is>
          <t>0.1000 (10.00%)</t>
        </is>
      </c>
      <c r="C10" s="4" t="inlineStr">
        <is>
          <t>抵押池覆盖部分的LGD下限</t>
        </is>
      </c>
    </row>
    <row r="11">
      <c r="A11" s="3" t="inlineStr">
        <is>
          <t>生效日期</t>
        </is>
      </c>
      <c r="B11" s="3" t="inlineStr">
        <is>
          <t>2026-07-08</t>
        </is>
      </c>
      <c r="C11" s="4" t="inlineStr">
        <is>
          <t>当前生效方案</t>
        </is>
      </c>
    </row>
    <row r="12">
      <c r="A12" s="3" t="inlineStr">
        <is>
          <t>叠加规则数量</t>
        </is>
      </c>
      <c r="B12" s="3" t="inlineStr">
        <is>
          <t>0</t>
        </is>
      </c>
      <c r="C12" s="4" t="inlineStr">
        <is>
          <t>SCH_005 未配置管理层叠加规则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SCH_005 风险分组配置</t>
        </is>
      </c>
    </row>
    <row r="2">
      <c r="A2" s="2" t="inlineStr">
        <is>
          <t>分组编码</t>
        </is>
      </c>
      <c r="B2" s="2" t="inlineStr">
        <is>
          <t>分组名称</t>
        </is>
      </c>
      <c r="C2" s="2" t="inlineStr">
        <is>
          <t>优先级</t>
        </is>
      </c>
      <c r="D2" s="2" t="inlineStr">
        <is>
          <t>segment</t>
        </is>
      </c>
      <c r="E2" s="2" t="inlineStr">
        <is>
          <t>productType</t>
        </is>
      </c>
      <c r="F2" s="2" t="inlineStr">
        <is>
          <t>industryCode</t>
        </is>
      </c>
      <c r="G2" s="2" t="inlineStr">
        <is>
          <t>collateralType</t>
        </is>
      </c>
      <c r="H2" s="2" t="inlineStr">
        <is>
          <t>匹配说明</t>
        </is>
      </c>
    </row>
    <row r="3">
      <c r="A3" s="3" t="inlineStr">
        <is>
          <t>GRP_002</t>
        </is>
      </c>
      <c r="B3" s="3" t="inlineStr">
        <is>
          <t>对公贷款业务</t>
        </is>
      </c>
      <c r="C3" s="4" t="n">
        <v>1</v>
      </c>
      <c r="D3" s="4" t="inlineStr">
        <is>
          <t>CORPORATE</t>
        </is>
      </c>
      <c r="E3" s="4" t="n"/>
      <c r="F3" s="4" t="n"/>
      <c r="G3" s="4" t="n"/>
      <c r="H3" s="4" t="inlineStr">
        <is>
          <t>对公通配（无其他条件）</t>
        </is>
      </c>
    </row>
    <row r="4">
      <c r="A4" s="3" t="inlineStr">
        <is>
          <t>GRP_003</t>
        </is>
      </c>
      <c r="B4" s="3" t="inlineStr">
        <is>
          <t>银行同业</t>
        </is>
      </c>
      <c r="C4" s="4" t="n">
        <v>1</v>
      </c>
      <c r="D4" s="4" t="inlineStr">
        <is>
          <t>FINANCIAL</t>
        </is>
      </c>
      <c r="E4" s="4" t="n"/>
      <c r="F4" s="4" t="n"/>
      <c r="G4" s="4" t="n"/>
      <c r="H4" s="4" t="inlineStr">
        <is>
          <t>金融同业通配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55" customWidth="1" min="7" max="7"/>
    <col width="20" customWidth="1" min="8" max="8"/>
  </cols>
  <sheetData>
    <row r="1">
      <c r="A1" s="1" t="inlineStr">
        <is>
          <t>SCH_005 阶段规则（FORWARD + ROLLBACK）</t>
        </is>
      </c>
    </row>
    <row r="2">
      <c r="A2" s="2" t="inlineStr">
        <is>
          <t>分组</t>
        </is>
      </c>
      <c r="B2" s="2" t="inlineStr">
        <is>
          <t>规则类型</t>
        </is>
      </c>
      <c r="C2" s="2" t="inlineStr">
        <is>
          <t>优先级</t>
        </is>
      </c>
      <c r="D2" s="2" t="inlineStr">
        <is>
          <t>stageFrom</t>
        </is>
      </c>
      <c r="E2" s="2" t="inlineStr">
        <is>
          <t>stageTo</t>
        </is>
      </c>
      <c r="F2" s="2" t="inlineStr">
        <is>
          <t>观察期(天)</t>
        </is>
      </c>
      <c r="G2" s="2" t="inlineStr">
        <is>
          <t>条件</t>
        </is>
      </c>
      <c r="H2" s="2" t="inlineStr">
        <is>
          <t>说明</t>
        </is>
      </c>
    </row>
    <row r="3">
      <c r="A3" s="3" t="inlineStr">
        <is>
          <t>GRP_002(对公)</t>
        </is>
      </c>
      <c r="B3" s="3" t="inlineStr">
        <is>
          <t>FORWARD</t>
        </is>
      </c>
      <c r="C3" s="4" t="n">
        <v>1</v>
      </c>
      <c r="D3" s="4" t="n"/>
      <c r="E3" s="4" t="inlineStr">
        <is>
          <t>STAGE_3</t>
        </is>
      </c>
      <c r="F3" s="4" t="n"/>
      <c r="G3" s="4" t="inlineStr">
        <is>
          <t>逾期≥91天 OR 五级分类[次级/可疑/损失] OR 违约=是</t>
        </is>
      </c>
      <c r="H3" s="4" t="inlineStr">
        <is>
          <t>→STAGE3</t>
        </is>
      </c>
    </row>
    <row r="4">
      <c r="A4" s="3" t="inlineStr">
        <is>
          <t>GRP_002(对公)</t>
        </is>
      </c>
      <c r="B4" s="3" t="inlineStr">
        <is>
          <t>FORWARD</t>
        </is>
      </c>
      <c r="C4" s="4" t="n">
        <v>2</v>
      </c>
      <c r="D4" s="4" t="n"/>
      <c r="E4" s="4" t="inlineStr">
        <is>
          <t>STAGE_2</t>
        </is>
      </c>
      <c r="F4" s="4" t="n"/>
      <c r="G4" s="4" t="inlineStr">
        <is>
          <t>逾期30-90天(不含30) OR CRR下降≥3级 OR 五级分类=关注</t>
        </is>
      </c>
      <c r="H4" s="4" t="inlineStr">
        <is>
          <t>→STAGE2</t>
        </is>
      </c>
    </row>
    <row r="5">
      <c r="A5" s="3" t="inlineStr">
        <is>
          <t>GRP_002(对公)</t>
        </is>
      </c>
      <c r="B5" s="3" t="inlineStr">
        <is>
          <t>FORWARD</t>
        </is>
      </c>
      <c r="C5" s="4" t="n">
        <v>3</v>
      </c>
      <c r="D5" s="4" t="n"/>
      <c r="E5" s="4" t="inlineStr">
        <is>
          <t>STAGE_1</t>
        </is>
      </c>
      <c r="F5" s="4" t="n"/>
      <c r="G5" s="4" t="inlineStr">
        <is>
          <t>逾期≤30天 AND 五级分类=正常</t>
        </is>
      </c>
      <c r="H5" s="4" t="inlineStr">
        <is>
          <t>→STAGE1</t>
        </is>
      </c>
    </row>
    <row r="6">
      <c r="A6" s="3" t="inlineStr">
        <is>
          <t>GRP_002(对公)</t>
        </is>
      </c>
      <c r="B6" s="3" t="inlineStr">
        <is>
          <t>FORWARD</t>
        </is>
      </c>
      <c r="C6" s="4" t="n">
        <v>99</v>
      </c>
      <c r="D6" s="4" t="n"/>
      <c r="E6" s="4" t="inlineStr">
        <is>
          <t>STAGE_1</t>
        </is>
      </c>
      <c r="F6" s="4" t="n"/>
      <c r="G6" s="4" t="inlineStr">
        <is>
          <t>无条件兜底（最后兜底规则）</t>
        </is>
      </c>
      <c r="H6" s="4" t="inlineStr">
        <is>
          <t>兜底→STAGE1</t>
        </is>
      </c>
    </row>
    <row r="7">
      <c r="A7" s="3" t="inlineStr">
        <is>
          <t>GRP_002(对公)</t>
        </is>
      </c>
      <c r="B7" s="3" t="inlineStr">
        <is>
          <t>ROLLBACK</t>
        </is>
      </c>
      <c r="C7" s="4" t="n">
        <v>1</v>
      </c>
      <c r="D7" s="4" t="inlineStr">
        <is>
          <t>STAGE_3</t>
        </is>
      </c>
      <c r="E7" s="4" t="inlineStr">
        <is>
          <t>STAGE_2</t>
        </is>
      </c>
      <c r="F7" s="4" t="n">
        <v>180</v>
      </c>
      <c r="G7" s="4" t="inlineStr">
        <is>
          <t>还款状态=正常 AND 逾期状态=已消除</t>
        </is>
      </c>
      <c r="H7" s="4" t="inlineStr">
        <is>
          <t>STAGE3→STAGE2回跳</t>
        </is>
      </c>
    </row>
    <row r="8">
      <c r="A8" s="3" t="inlineStr">
        <is>
          <t>GRP_002(对公)</t>
        </is>
      </c>
      <c r="B8" s="3" t="inlineStr">
        <is>
          <t>ROLLBACK</t>
        </is>
      </c>
      <c r="C8" s="4" t="n">
        <v>2</v>
      </c>
      <c r="D8" s="4" t="inlineStr">
        <is>
          <t>STAGE_2</t>
        </is>
      </c>
      <c r="E8" s="4" t="inlineStr">
        <is>
          <t>STAGE_1</t>
        </is>
      </c>
      <c r="F8" s="4" t="n">
        <v>90</v>
      </c>
      <c r="G8" s="4" t="inlineStr">
        <is>
          <t>逾期≤30天 AND 五级分类=正常 AND 还款正常 AND 违约=否 AND 逾期已消除</t>
        </is>
      </c>
      <c r="H8" s="4" t="inlineStr">
        <is>
          <t>STAGE2→STAGE1回跳</t>
        </is>
      </c>
    </row>
    <row r="9">
      <c r="A9" s="3" t="inlineStr">
        <is>
          <t>GRP_003(同业)</t>
        </is>
      </c>
      <c r="B9" s="3" t="inlineStr">
        <is>
          <t>FORWARD</t>
        </is>
      </c>
      <c r="C9" s="4" t="n">
        <v>1</v>
      </c>
      <c r="D9" s="4" t="n"/>
      <c r="E9" s="4" t="inlineStr">
        <is>
          <t>STAGE_3</t>
        </is>
      </c>
      <c r="F9" s="4" t="n"/>
      <c r="G9" s="4" t="inlineStr">
        <is>
          <t>逾期≥91天 OR 五级分类[次级/可疑/损失]</t>
        </is>
      </c>
      <c r="H9" s="4" t="inlineStr">
        <is>
          <t>→STAGE3</t>
        </is>
      </c>
    </row>
    <row r="10">
      <c r="A10" s="3" t="inlineStr">
        <is>
          <t>GRP_003(同业)</t>
        </is>
      </c>
      <c r="B10" s="3" t="inlineStr">
        <is>
          <t>FORWARD</t>
        </is>
      </c>
      <c r="C10" s="4" t="n">
        <v>2</v>
      </c>
      <c r="D10" s="4" t="n"/>
      <c r="E10" s="4" t="inlineStr">
        <is>
          <t>STAGE_2</t>
        </is>
      </c>
      <c r="F10" s="4" t="n"/>
      <c r="G10" s="4" t="inlineStr">
        <is>
          <t>逾期30-90天(不含90) OR CRR下降≥3级</t>
        </is>
      </c>
      <c r="H10" s="4" t="inlineStr">
        <is>
          <t>→STAGE2</t>
        </is>
      </c>
    </row>
    <row r="11">
      <c r="A11" s="3" t="inlineStr">
        <is>
          <t>GRP_003(同业)</t>
        </is>
      </c>
      <c r="B11" s="3" t="inlineStr">
        <is>
          <t>FORWARD</t>
        </is>
      </c>
      <c r="C11" s="4" t="n">
        <v>99</v>
      </c>
      <c r="D11" s="4" t="n"/>
      <c r="E11" s="4" t="inlineStr">
        <is>
          <t>STAGE_1</t>
        </is>
      </c>
      <c r="F11" s="4" t="n"/>
      <c r="G11" s="4" t="inlineStr">
        <is>
          <t>无条件兜底</t>
        </is>
      </c>
      <c r="H11" s="4" t="inlineStr">
        <is>
          <t>兜底→STAGE1</t>
        </is>
      </c>
    </row>
    <row r="12">
      <c r="A12" s="3" t="inlineStr">
        <is>
          <t>GRP_003(同业)</t>
        </is>
      </c>
      <c r="B12" s="3" t="inlineStr">
        <is>
          <t>ROLLBACK</t>
        </is>
      </c>
      <c r="C12" s="4" t="n">
        <v>1</v>
      </c>
      <c r="D12" s="4" t="inlineStr">
        <is>
          <t>STAGE_3</t>
        </is>
      </c>
      <c r="E12" s="4" t="inlineStr">
        <is>
          <t>STAGE_2</t>
        </is>
      </c>
      <c r="F12" s="4" t="n">
        <v>180</v>
      </c>
      <c r="G12" s="4" t="inlineStr">
        <is>
          <t>逾期已消除 AND 还款正常</t>
        </is>
      </c>
      <c r="H12" s="4" t="inlineStr">
        <is>
          <t>STAGE3→STAGE2回跳</t>
        </is>
      </c>
    </row>
    <row r="13">
      <c r="A13" s="3" t="inlineStr">
        <is>
          <t>GRP_003(同业)</t>
        </is>
      </c>
      <c r="B13" s="3" t="inlineStr">
        <is>
          <t>ROLLBACK</t>
        </is>
      </c>
      <c r="C13" s="4" t="n">
        <v>2</v>
      </c>
      <c r="D13" s="4" t="inlineStr">
        <is>
          <t>STAGE_2</t>
        </is>
      </c>
      <c r="E13" s="4" t="inlineStr">
        <is>
          <t>STAGE_1</t>
        </is>
      </c>
      <c r="F13" s="4" t="n">
        <v>90</v>
      </c>
      <c r="G13" s="4" t="inlineStr">
        <is>
          <t>还款正常 AND 逾期已消除</t>
        </is>
      </c>
      <c r="H13" s="4" t="inlineStr">
        <is>
          <t>STAGE2→STAGE1回跳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SCH_005 PD 曲线矩阵（OPTIMISTIC权重0.2 / BASELINE权重0.6 / PESSIMISTIC权重0.2）</t>
        </is>
      </c>
    </row>
    <row r="2">
      <c r="A2" s="2" t="inlineStr">
        <is>
          <t>分组</t>
        </is>
      </c>
      <c r="B2" s="2" t="inlineStr">
        <is>
          <t>评级机构</t>
        </is>
      </c>
      <c r="C2" s="2" t="inlineStr">
        <is>
          <t>评级代码</t>
        </is>
      </c>
      <c r="D2" s="2" t="inlineStr">
        <is>
          <t>OPTIMISTIC(0.2)</t>
        </is>
      </c>
      <c r="E2" s="2" t="inlineStr">
        <is>
          <t>BASELINE(0.6)</t>
        </is>
      </c>
      <c r="F2" s="2" t="inlineStr">
        <is>
          <t>PESSIMISTIC(0.2)</t>
        </is>
      </c>
      <c r="G2" s="2" t="inlineStr">
        <is>
          <t>加权PD</t>
        </is>
      </c>
    </row>
    <row r="3">
      <c r="A3" s="3" t="inlineStr">
        <is>
          <t>GRP_002(对公)</t>
        </is>
      </c>
      <c r="B3" s="3" t="inlineStr">
        <is>
          <t>INTERNAL_CRR</t>
        </is>
      </c>
      <c r="C3" s="4" t="inlineStr">
        <is>
          <t>CRR1</t>
        </is>
      </c>
      <c r="D3" s="4" t="n">
        <v>6e-05</v>
      </c>
      <c r="E3" s="4" t="n">
        <v>0.0001</v>
      </c>
      <c r="F3" s="4" t="n">
        <v>0.00018</v>
      </c>
      <c r="G3" s="4" t="n">
        <v>0.000108</v>
      </c>
    </row>
    <row r="4">
      <c r="A4" s="3" t="inlineStr">
        <is>
          <t>GRP_002(对公)</t>
        </is>
      </c>
      <c r="B4" s="3" t="inlineStr">
        <is>
          <t>INTERNAL_CRR</t>
        </is>
      </c>
      <c r="C4" s="4" t="inlineStr">
        <is>
          <t>CRR2</t>
        </is>
      </c>
      <c r="D4" s="4" t="n">
        <v>0.00012</v>
      </c>
      <c r="E4" s="4" t="n">
        <v>0.0002</v>
      </c>
      <c r="F4" s="4" t="n">
        <v>0.00036</v>
      </c>
      <c r="G4" s="4" t="n">
        <v>0.000216</v>
      </c>
    </row>
    <row r="5">
      <c r="A5" s="3" t="inlineStr">
        <is>
          <t>GRP_002(对公)</t>
        </is>
      </c>
      <c r="B5" s="3" t="inlineStr">
        <is>
          <t>INTERNAL_CRR</t>
        </is>
      </c>
      <c r="C5" s="4" t="inlineStr">
        <is>
          <t>CRR3</t>
        </is>
      </c>
      <c r="D5" s="4" t="n">
        <v>0.00024</v>
      </c>
      <c r="E5" s="4" t="n">
        <v>0.0004</v>
      </c>
      <c r="F5" s="4" t="n">
        <v>0.00072</v>
      </c>
      <c r="G5" s="4" t="n">
        <v>0.000432</v>
      </c>
    </row>
    <row r="6">
      <c r="A6" s="3" t="inlineStr">
        <is>
          <t>GRP_002(对公)</t>
        </is>
      </c>
      <c r="B6" s="3" t="inlineStr">
        <is>
          <t>INTERNAL_CRR</t>
        </is>
      </c>
      <c r="C6" s="4" t="inlineStr">
        <is>
          <t>CRR4</t>
        </is>
      </c>
      <c r="D6" s="4" t="n">
        <v>0.00048</v>
      </c>
      <c r="E6" s="4" t="n">
        <v>0.0008</v>
      </c>
      <c r="F6" s="4" t="n">
        <v>0.00144</v>
      </c>
      <c r="G6" s="4" t="n">
        <v>0.000864</v>
      </c>
    </row>
    <row r="7">
      <c r="A7" s="3" t="inlineStr">
        <is>
          <t>GRP_002(对公)</t>
        </is>
      </c>
      <c r="B7" s="3" t="inlineStr">
        <is>
          <t>INTERNAL_CRR</t>
        </is>
      </c>
      <c r="C7" s="4" t="inlineStr">
        <is>
          <t>CRR5</t>
        </is>
      </c>
      <c r="D7" s="4" t="n">
        <v>0.00096</v>
      </c>
      <c r="E7" s="4" t="n">
        <v>0.0016</v>
      </c>
      <c r="F7" s="4" t="n">
        <v>0.00288</v>
      </c>
      <c r="G7" s="4" t="n">
        <v>0.001728</v>
      </c>
    </row>
    <row r="8">
      <c r="A8" s="3" t="inlineStr">
        <is>
          <t>GRP_002(对公)</t>
        </is>
      </c>
      <c r="B8" s="3" t="inlineStr">
        <is>
          <t>INTERNAL_CRR</t>
        </is>
      </c>
      <c r="C8" s="4" t="inlineStr">
        <is>
          <t>CRR6</t>
        </is>
      </c>
      <c r="D8" s="4" t="n">
        <v>0.00192</v>
      </c>
      <c r="E8" s="4" t="n">
        <v>0.0032</v>
      </c>
      <c r="F8" s="4" t="n">
        <v>0.00576</v>
      </c>
      <c r="G8" s="4" t="n">
        <v>0.003456</v>
      </c>
    </row>
    <row r="9">
      <c r="A9" s="3" t="inlineStr">
        <is>
          <t>GRP_002(对公)</t>
        </is>
      </c>
      <c r="B9" s="3" t="inlineStr">
        <is>
          <t>INTERNAL_CRR</t>
        </is>
      </c>
      <c r="C9" s="4" t="inlineStr">
        <is>
          <t>CRR7</t>
        </is>
      </c>
      <c r="D9" s="4" t="n">
        <v>0.00384</v>
      </c>
      <c r="E9" s="4" t="n">
        <v>0.0064</v>
      </c>
      <c r="F9" s="4" t="n">
        <v>0.01152</v>
      </c>
      <c r="G9" s="4" t="n">
        <v>0.006912</v>
      </c>
    </row>
    <row r="10">
      <c r="A10" s="3" t="inlineStr">
        <is>
          <t>GRP_002(对公)</t>
        </is>
      </c>
      <c r="B10" s="3" t="inlineStr">
        <is>
          <t>INTERNAL_CRR</t>
        </is>
      </c>
      <c r="C10" s="4" t="inlineStr">
        <is>
          <t>CRR8</t>
        </is>
      </c>
      <c r="D10" s="4" t="n">
        <v>0.00768</v>
      </c>
      <c r="E10" s="4" t="n">
        <v>0.0128</v>
      </c>
      <c r="F10" s="4" t="n">
        <v>0.02304</v>
      </c>
      <c r="G10" s="4" t="n">
        <v>0.013824</v>
      </c>
    </row>
    <row r="11">
      <c r="A11" s="3" t="inlineStr">
        <is>
          <t>GRP_002(对公)</t>
        </is>
      </c>
      <c r="B11" s="3" t="inlineStr">
        <is>
          <t>INTERNAL_CRR</t>
        </is>
      </c>
      <c r="C11" s="4" t="inlineStr">
        <is>
          <t>CRR9</t>
        </is>
      </c>
      <c r="D11" s="4" t="n">
        <v>0.01536</v>
      </c>
      <c r="E11" s="4" t="n">
        <v>0.0256</v>
      </c>
      <c r="F11" s="4" t="n">
        <v>0.04608</v>
      </c>
      <c r="G11" s="4" t="n">
        <v>0.027648</v>
      </c>
    </row>
    <row r="12">
      <c r="A12" s="3" t="inlineStr">
        <is>
          <t>GRP_003(同业)</t>
        </is>
      </c>
      <c r="B12" s="3" t="inlineStr">
        <is>
          <t>INTERNAL_CRR</t>
        </is>
      </c>
      <c r="C12" s="4" t="inlineStr">
        <is>
          <t>CRR1</t>
        </is>
      </c>
      <c r="D12" s="4" t="n">
        <v>6e-05</v>
      </c>
      <c r="E12" s="4" t="n">
        <v>0.0001</v>
      </c>
      <c r="F12" s="4" t="n">
        <v>0.00018</v>
      </c>
      <c r="G12" s="4" t="n">
        <v>0.000108</v>
      </c>
    </row>
    <row r="13">
      <c r="A13" s="3" t="inlineStr">
        <is>
          <t>GRP_003(同业)</t>
        </is>
      </c>
      <c r="B13" s="3" t="inlineStr">
        <is>
          <t>INTERNAL_CRR</t>
        </is>
      </c>
      <c r="C13" s="4" t="inlineStr">
        <is>
          <t>CRR2</t>
        </is>
      </c>
      <c r="D13" s="4" t="n">
        <v>0.00012</v>
      </c>
      <c r="E13" s="4" t="n">
        <v>0.0002</v>
      </c>
      <c r="F13" s="4" t="n">
        <v>0.00036</v>
      </c>
      <c r="G13" s="4" t="n">
        <v>0.000216</v>
      </c>
    </row>
    <row r="14">
      <c r="A14" s="3" t="inlineStr">
        <is>
          <t>GRP_003(同业)</t>
        </is>
      </c>
      <c r="B14" s="3" t="inlineStr">
        <is>
          <t>INTERNAL_CRR</t>
        </is>
      </c>
      <c r="C14" s="4" t="inlineStr">
        <is>
          <t>CRR3</t>
        </is>
      </c>
      <c r="D14" s="4" t="n">
        <v>0.00024</v>
      </c>
      <c r="E14" s="4" t="n">
        <v>0.0004</v>
      </c>
      <c r="F14" s="4" t="n">
        <v>0.00072</v>
      </c>
      <c r="G14" s="4" t="n">
        <v>0.000432</v>
      </c>
    </row>
    <row r="15">
      <c r="A15" s="3" t="inlineStr">
        <is>
          <t>GRP_003(同业)</t>
        </is>
      </c>
      <c r="B15" s="3" t="inlineStr">
        <is>
          <t>INTERNAL_CRR</t>
        </is>
      </c>
      <c r="C15" s="4" t="inlineStr">
        <is>
          <t>CRR4</t>
        </is>
      </c>
      <c r="D15" s="4" t="n">
        <v>0.00048</v>
      </c>
      <c r="E15" s="4" t="n">
        <v>0.0008</v>
      </c>
      <c r="F15" s="4" t="n">
        <v>0.00144</v>
      </c>
      <c r="G15" s="4" t="n">
        <v>0.000864</v>
      </c>
    </row>
    <row r="16">
      <c r="A16" s="3" t="inlineStr">
        <is>
          <t>GRP_003(同业)</t>
        </is>
      </c>
      <c r="B16" s="3" t="inlineStr">
        <is>
          <t>INTERNAL_CRR</t>
        </is>
      </c>
      <c r="C16" s="4" t="inlineStr">
        <is>
          <t>CRR5</t>
        </is>
      </c>
      <c r="D16" s="4" t="n">
        <v>0.00096</v>
      </c>
      <c r="E16" s="4" t="n">
        <v>0.0016</v>
      </c>
      <c r="F16" s="4" t="n">
        <v>0.00288</v>
      </c>
      <c r="G16" s="4" t="n">
        <v>0.001728</v>
      </c>
    </row>
    <row r="17">
      <c r="A17" s="3" t="inlineStr">
        <is>
          <t>GRP_003(同业)</t>
        </is>
      </c>
      <c r="B17" s="3" t="inlineStr">
        <is>
          <t>INTERNAL_CRR</t>
        </is>
      </c>
      <c r="C17" s="4" t="inlineStr">
        <is>
          <t>CRR6</t>
        </is>
      </c>
      <c r="D17" s="4" t="n">
        <v>0.00192</v>
      </c>
      <c r="E17" s="4" t="n">
        <v>0.0032</v>
      </c>
      <c r="F17" s="4" t="n">
        <v>0.00576</v>
      </c>
      <c r="G17" s="4" t="n">
        <v>0.003456</v>
      </c>
    </row>
    <row r="18">
      <c r="A18" s="3" t="inlineStr">
        <is>
          <t>GRP_003(同业)</t>
        </is>
      </c>
      <c r="B18" s="3" t="inlineStr">
        <is>
          <t>INTERNAL_CRR</t>
        </is>
      </c>
      <c r="C18" s="4" t="inlineStr">
        <is>
          <t>CRR7</t>
        </is>
      </c>
      <c r="D18" s="4" t="n">
        <v>0.00384</v>
      </c>
      <c r="E18" s="4" t="n">
        <v>0.0064</v>
      </c>
      <c r="F18" s="4" t="n">
        <v>0.01152</v>
      </c>
      <c r="G18" s="4" t="n">
        <v>0.006912</v>
      </c>
    </row>
    <row r="19">
      <c r="A19" s="3" t="inlineStr">
        <is>
          <t>GRP_003(同业)</t>
        </is>
      </c>
      <c r="B19" s="3" t="inlineStr">
        <is>
          <t>INTERNAL_CRR</t>
        </is>
      </c>
      <c r="C19" s="4" t="inlineStr">
        <is>
          <t>CRR8</t>
        </is>
      </c>
      <c r="D19" s="4" t="n">
        <v>0.00768</v>
      </c>
      <c r="E19" s="4" t="n">
        <v>0.0128</v>
      </c>
      <c r="F19" s="4" t="n">
        <v>0.02304</v>
      </c>
      <c r="G19" s="4" t="n">
        <v>0.013824</v>
      </c>
    </row>
    <row r="20">
      <c r="A20" s="3" t="inlineStr">
        <is>
          <t>GRP_003(同业)</t>
        </is>
      </c>
      <c r="B20" s="3" t="inlineStr">
        <is>
          <t>INTERNAL_CRR</t>
        </is>
      </c>
      <c r="C20" s="4" t="inlineStr">
        <is>
          <t>CRR9</t>
        </is>
      </c>
      <c r="D20" s="4" t="n">
        <v>0.01536</v>
      </c>
      <c r="E20" s="4" t="n">
        <v>0.0256</v>
      </c>
      <c r="F20" s="4" t="n">
        <v>0.04608</v>
      </c>
      <c r="G20" s="4" t="n">
        <v>0.027648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4" customWidth="1" min="4" max="4"/>
  </cols>
  <sheetData>
    <row r="1">
      <c r="A1" s="1" t="inlineStr">
        <is>
          <t>SCH_005 LGD 曲线配置</t>
        </is>
      </c>
    </row>
    <row r="2">
      <c r="A2" s="2" t="inlineStr">
        <is>
          <t>分组</t>
        </is>
      </c>
      <c r="B2" s="2" t="inlineStr">
        <is>
          <t>担保类型(collateralType)</t>
        </is>
      </c>
      <c r="C2" s="2" t="inlineStr">
        <is>
          <t>产品类型(productType)</t>
        </is>
      </c>
      <c r="D2" s="2" t="inlineStr">
        <is>
          <t>LGD基础值</t>
        </is>
      </c>
    </row>
    <row r="3">
      <c r="A3" s="3" t="inlineStr">
        <is>
          <t>GRP_002(对公)</t>
        </is>
      </c>
      <c r="B3" s="3" t="inlineStr">
        <is>
          <t>CREDIT</t>
        </is>
      </c>
      <c r="C3" s="4" t="inlineStr"/>
      <c r="D3" s="4" t="n">
        <v>0.5501</v>
      </c>
    </row>
    <row r="4">
      <c r="A4" s="3" t="inlineStr">
        <is>
          <t>GRP_002(对公)</t>
        </is>
      </c>
      <c r="B4" s="3" t="inlineStr">
        <is>
          <t>DEPOSIT</t>
        </is>
      </c>
      <c r="C4" s="4" t="inlineStr"/>
      <c r="D4" s="4" t="n">
        <v>0.1</v>
      </c>
    </row>
    <row r="5">
      <c r="A5" s="3" t="inlineStr">
        <is>
          <t>GRP_002(对公)</t>
        </is>
      </c>
      <c r="B5" s="3" t="inlineStr">
        <is>
          <t>GUARANTEE</t>
        </is>
      </c>
      <c r="C5" s="4" t="inlineStr"/>
      <c r="D5" s="4" t="n">
        <v>0.45</v>
      </c>
    </row>
    <row r="6">
      <c r="A6" s="3" t="inlineStr">
        <is>
          <t>GRP_002(对公)</t>
        </is>
      </c>
      <c r="B6" s="3" t="inlineStr">
        <is>
          <t>MORTGAGE</t>
        </is>
      </c>
      <c r="C6" s="4" t="inlineStr"/>
      <c r="D6" s="4" t="n">
        <v>0.35</v>
      </c>
    </row>
    <row r="7">
      <c r="A7" s="3" t="inlineStr">
        <is>
          <t>GRP_002(对公)</t>
        </is>
      </c>
      <c r="B7" s="3" t="inlineStr">
        <is>
          <t>PLEDGE</t>
        </is>
      </c>
      <c r="C7" s="4" t="inlineStr"/>
      <c r="D7" s="4" t="n">
        <v>0.4</v>
      </c>
    </row>
    <row r="8">
      <c r="A8" s="3" t="inlineStr">
        <is>
          <t>GRP_003(同业)</t>
        </is>
      </c>
      <c r="B8" s="3" t="inlineStr">
        <is>
          <t>CREDIT</t>
        </is>
      </c>
      <c r="C8" s="4" t="inlineStr"/>
      <c r="D8" s="4" t="n">
        <v>0.45</v>
      </c>
    </row>
    <row r="9">
      <c r="A9" s="3" t="inlineStr">
        <is>
          <t>GRP_003(同业)</t>
        </is>
      </c>
      <c r="B9" s="3" t="inlineStr">
        <is>
          <t>DEPOSIT</t>
        </is>
      </c>
      <c r="C9" s="4" t="inlineStr"/>
      <c r="D9" s="4" t="n">
        <v>0.05</v>
      </c>
    </row>
    <row r="10">
      <c r="A10" s="3" t="inlineStr">
        <is>
          <t>GRP_003(同业)</t>
        </is>
      </c>
      <c r="B10" s="3" t="inlineStr">
        <is>
          <t>GUARANTEE</t>
        </is>
      </c>
      <c r="C10" s="4" t="inlineStr"/>
      <c r="D10" s="4" t="n">
        <v>0.4</v>
      </c>
    </row>
    <row r="11">
      <c r="A11" s="3" t="inlineStr">
        <is>
          <t>GRP_003(同业)</t>
        </is>
      </c>
      <c r="B11" s="3" t="inlineStr">
        <is>
          <t>MORTGAGE</t>
        </is>
      </c>
      <c r="C11" s="4" t="inlineStr"/>
      <c r="D11" s="4" t="n">
        <v>0.3</v>
      </c>
    </row>
    <row r="12">
      <c r="A12" s="3" t="inlineStr">
        <is>
          <t>GRP_003(同业)</t>
        </is>
      </c>
      <c r="B12" s="3" t="inlineStr">
        <is>
          <t>PLEDGE</t>
        </is>
      </c>
      <c r="C12" s="4" t="inlineStr"/>
      <c r="D12" s="4" t="n">
        <v>0.35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28" customWidth="1" min="6" max="6"/>
  </cols>
  <sheetData>
    <row r="1">
      <c r="A1" s="1" t="inlineStr">
        <is>
          <t>SCH_005 CCF 曲线配置</t>
        </is>
      </c>
    </row>
    <row r="2">
      <c r="A2" s="2" t="inlineStr">
        <is>
          <t>产品类型(productType)</t>
        </is>
      </c>
      <c r="B2" s="2" t="inlineStr">
        <is>
          <t>承诺类型(commitmentType)</t>
        </is>
      </c>
      <c r="C2" s="2" t="inlineStr">
        <is>
          <t>天数下限</t>
        </is>
      </c>
      <c r="D2" s="2" t="inlineStr">
        <is>
          <t>天数上限</t>
        </is>
      </c>
      <c r="E2" s="2" t="inlineStr">
        <is>
          <t>CCF值</t>
        </is>
      </c>
      <c r="F2" s="2" t="inlineStr">
        <is>
          <t>说明</t>
        </is>
      </c>
    </row>
    <row r="3">
      <c r="A3" s="3" t="inlineStr">
        <is>
          <t>WORKING_CAPITAL</t>
        </is>
      </c>
      <c r="B3" s="3" t="inlineStr"/>
      <c r="C3" s="4" t="n">
        <v>0</v>
      </c>
      <c r="D3" s="4" t="n">
        <v>365</v>
      </c>
      <c r="E3" s="4" t="n">
        <v>0.2</v>
      </c>
      <c r="F3" s="4" t="inlineStr">
        <is>
          <t>营运资金贷款1年以内</t>
        </is>
      </c>
    </row>
    <row r="4">
      <c r="A4" s="3" t="inlineStr">
        <is>
          <t>WORKING_CAPITAL</t>
        </is>
      </c>
      <c r="B4" s="3" t="inlineStr"/>
      <c r="C4" s="4" t="n">
        <v>366</v>
      </c>
      <c r="D4" s="4" t="n">
        <v>1095</v>
      </c>
      <c r="E4" s="4" t="n">
        <v>0.5</v>
      </c>
      <c r="F4" s="4" t="inlineStr">
        <is>
          <t>营运资金贷款1-3年</t>
        </is>
      </c>
    </row>
    <row r="5">
      <c r="A5" s="3" t="inlineStr">
        <is>
          <t>WORKING_CAPITAL</t>
        </is>
      </c>
      <c r="B5" s="3" t="inlineStr"/>
      <c r="C5" s="4" t="n">
        <v>1096</v>
      </c>
      <c r="D5" s="4" t="n">
        <v>99999</v>
      </c>
      <c r="E5" s="4" t="n">
        <v>1</v>
      </c>
      <c r="F5" s="4" t="inlineStr">
        <is>
          <t>营运资金贷款3年以上</t>
        </is>
      </c>
    </row>
    <row r="6">
      <c r="A6" s="3" t="inlineStr">
        <is>
          <t>FIXED_ASSET</t>
        </is>
      </c>
      <c r="B6" s="3" t="inlineStr"/>
      <c r="C6" s="4" t="n">
        <v>0</v>
      </c>
      <c r="D6" s="4" t="n">
        <v>365</v>
      </c>
      <c r="E6" s="4" t="n">
        <v>0</v>
      </c>
      <c r="F6" s="4" t="inlineStr">
        <is>
          <t>固定资产贷款1年内</t>
        </is>
      </c>
    </row>
    <row r="7">
      <c r="A7" s="3" t="inlineStr">
        <is>
          <t>FIXED_ASSET</t>
        </is>
      </c>
      <c r="B7" s="3" t="inlineStr"/>
      <c r="C7" s="4" t="n">
        <v>366</v>
      </c>
      <c r="D7" s="4" t="n">
        <v>99999</v>
      </c>
      <c r="E7" s="4" t="n">
        <v>0.5</v>
      </c>
      <c r="F7" s="4" t="inlineStr">
        <is>
          <t>固定资产贷款1年以上</t>
        </is>
      </c>
    </row>
    <row r="8">
      <c r="A8" s="3" t="inlineStr">
        <is>
          <t>BILL</t>
        </is>
      </c>
      <c r="B8" s="3" t="inlineStr">
        <is>
          <t>BILL_ACCEPT</t>
        </is>
      </c>
      <c r="C8" s="4" t="n">
        <v>0</v>
      </c>
      <c r="D8" s="4" t="n">
        <v>180</v>
      </c>
      <c r="E8" s="4" t="n">
        <v>0.1</v>
      </c>
      <c r="F8" s="4" t="inlineStr">
        <is>
          <t>银行承兑汇票180天内</t>
        </is>
      </c>
    </row>
    <row r="9">
      <c r="A9" s="3" t="inlineStr">
        <is>
          <t>BILL</t>
        </is>
      </c>
      <c r="B9" s="3" t="inlineStr">
        <is>
          <t>BILL_ACCEPT</t>
        </is>
      </c>
      <c r="C9" s="4" t="n">
        <v>181</v>
      </c>
      <c r="D9" s="4" t="n">
        <v>99999</v>
      </c>
      <c r="E9" s="4" t="n">
        <v>0.5</v>
      </c>
      <c r="F9" s="4" t="inlineStr">
        <is>
          <t>银行承兑汇票180天以上</t>
        </is>
      </c>
    </row>
    <row r="10">
      <c r="A10" s="3" t="inlineStr">
        <is>
          <t>LC</t>
        </is>
      </c>
      <c r="B10" s="3" t="inlineStr">
        <is>
          <t>STANDBY_LC</t>
        </is>
      </c>
      <c r="C10" s="4" t="n">
        <v>0</v>
      </c>
      <c r="D10" s="4" t="n">
        <v>365</v>
      </c>
      <c r="E10" s="4" t="n">
        <v>0.5</v>
      </c>
      <c r="F10" s="4" t="inlineStr">
        <is>
          <t>信用证1年内</t>
        </is>
      </c>
    </row>
    <row r="11">
      <c r="A11" s="3" t="inlineStr">
        <is>
          <t>LC</t>
        </is>
      </c>
      <c r="B11" s="3" t="inlineStr">
        <is>
          <t>STANDBY_LC</t>
        </is>
      </c>
      <c r="C11" s="4" t="n">
        <v>366</v>
      </c>
      <c r="D11" s="4" t="n">
        <v>99999</v>
      </c>
      <c r="E11" s="4" t="n">
        <v>1</v>
      </c>
      <c r="F11" s="4" t="inlineStr">
        <is>
          <t>信用证1年以上</t>
        </is>
      </c>
    </row>
    <row r="12">
      <c r="A12" s="3" t="inlineStr">
        <is>
          <t>GUARANTEE_BIZ</t>
        </is>
      </c>
      <c r="B12" s="3" t="inlineStr"/>
      <c r="C12" s="4" t="n">
        <v>0</v>
      </c>
      <c r="D12" s="4" t="n">
        <v>365</v>
      </c>
      <c r="E12" s="4" t="n">
        <v>0.5</v>
      </c>
      <c r="F12" s="4" t="inlineStr">
        <is>
          <t>担保类1年内</t>
        </is>
      </c>
    </row>
    <row r="13">
      <c r="A13" s="3" t="inlineStr">
        <is>
          <t>GUARANTEE_BIZ</t>
        </is>
      </c>
      <c r="B13" s="3" t="inlineStr"/>
      <c r="C13" s="4" t="n">
        <v>366</v>
      </c>
      <c r="D13" s="4" t="n">
        <v>99999</v>
      </c>
      <c r="E13" s="4" t="n">
        <v>1</v>
      </c>
      <c r="F13" s="4" t="inlineStr">
        <is>
          <t>担保类1年以上</t>
        </is>
      </c>
    </row>
    <row r="14">
      <c r="A14" s="3" t="inlineStr">
        <is>
          <t>FACTORING</t>
        </is>
      </c>
      <c r="B14" s="3" t="inlineStr"/>
      <c r="C14" s="4" t="n">
        <v>0</v>
      </c>
      <c r="D14" s="4" t="n">
        <v>99999</v>
      </c>
      <c r="E14" s="4" t="n">
        <v>1</v>
      </c>
      <c r="F14" s="4" t="inlineStr">
        <is>
          <t>保理业务CCF=1.0</t>
        </is>
      </c>
    </row>
    <row r="15">
      <c r="A15" s="3" t="inlineStr">
        <is>
          <t>TEST</t>
        </is>
      </c>
      <c r="B15" s="3" t="inlineStr">
        <is>
          <t>TEST</t>
        </is>
      </c>
      <c r="C15" s="4" t="n">
        <v>-1</v>
      </c>
      <c r="D15" s="4" t="n">
        <v>365</v>
      </c>
      <c r="E15" s="4" t="n">
        <v>0.5</v>
      </c>
      <c r="F15" s="4" t="inlineStr">
        <is>
          <t>测试数据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SCH_005 叠加规则 — 无配置</t>
        </is>
      </c>
    </row>
    <row r="2">
      <c r="A2" s="5" t="inlineStr">
        <is>
          <t>SCH_005 方案未配置管理层叠加规则，试算中叠加调整项均为空。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20" customWidth="1" min="5" max="5"/>
    <col width="16" customWidth="1" min="6" max="6"/>
    <col width="18" customWidth="1" min="7" max="7"/>
    <col width="14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18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4" customWidth="1" min="20" max="20"/>
    <col width="16" customWidth="1" min="21" max="21"/>
    <col width="18" customWidth="1" min="22" max="22"/>
    <col width="40" customWidth="1" min="23" max="23"/>
    <col width="50" customWidth="1" min="24" max="24"/>
  </cols>
  <sheetData>
    <row r="1">
      <c r="A1" s="1" t="inlineStr">
        <is>
          <t>SCH_005 试算输入 — 6 笔借据</t>
        </is>
      </c>
    </row>
    <row r="2">
      <c r="A2" s="2" t="inlineStr">
        <is>
          <t>案例</t>
        </is>
      </c>
      <c r="B2" s="2" t="inlineStr">
        <is>
          <t>借据ID</t>
        </is>
      </c>
      <c r="C2" s="2" t="inlineStr">
        <is>
          <t>分组</t>
        </is>
      </c>
      <c r="D2" s="2" t="inlineStr">
        <is>
          <t>业务板块(segment)</t>
        </is>
      </c>
      <c r="E2" s="2" t="inlineStr">
        <is>
          <t>产品类型(productType)</t>
        </is>
      </c>
      <c r="F2" s="2" t="inlineStr">
        <is>
          <t>行业代码(industryCode)</t>
        </is>
      </c>
      <c r="G2" s="2" t="inlineStr">
        <is>
          <t>担保类型(collateralType)</t>
        </is>
      </c>
      <c r="H2" s="2" t="inlineStr">
        <is>
          <t>逾期天数(overdueDays)</t>
        </is>
      </c>
      <c r="I2" s="2" t="inlineStr">
        <is>
          <t>五级分类(fiveCategory)</t>
        </is>
      </c>
      <c r="J2" s="2" t="inlineStr">
        <is>
          <t>违约标识(defaultFlag)</t>
        </is>
      </c>
      <c r="K2" s="2" t="inlineStr">
        <is>
          <t>CRR最终(crrFinal)</t>
        </is>
      </c>
      <c r="L2" s="2" t="inlineStr">
        <is>
          <t>上年CRR(crrIntLastYear)</t>
        </is>
      </c>
      <c r="M2" s="2" t="inlineStr">
        <is>
          <t>到期日(maturityDate)</t>
        </is>
      </c>
      <c r="N2" s="2" t="inlineStr">
        <is>
          <t>未偿余额(outstandingBalance)</t>
        </is>
      </c>
      <c r="O2" s="2" t="inlineStr">
        <is>
          <t>应计利息(accruedInterest)</t>
        </is>
      </c>
      <c r="P2" s="2" t="inlineStr">
        <is>
          <t>授信总额(totalLimit)</t>
        </is>
      </c>
      <c r="Q2" s="2" t="inlineStr">
        <is>
          <t>融资本金(amtFinancedCny)</t>
        </is>
      </c>
      <c r="R2" s="2" t="inlineStr">
        <is>
          <t>业务类型(commitmentType)</t>
        </is>
      </c>
      <c r="S2" s="2" t="inlineStr">
        <is>
          <t>表外承诺类型</t>
        </is>
      </c>
      <c r="T2" s="2" t="inlineStr">
        <is>
          <t>押品池</t>
        </is>
      </c>
      <c r="U2" s="2" t="inlineStr">
        <is>
          <t>上期阶段(lastStage)</t>
        </is>
      </c>
      <c r="V2" s="2" t="inlineStr">
        <is>
          <t>正常连续天数(normalConsecutiveDays)</t>
        </is>
      </c>
      <c r="W2" s="2" t="inlineStr">
        <is>
          <t>测试重点</t>
        </is>
      </c>
      <c r="X2" s="2" t="inlineStr">
        <is>
          <t>备注</t>
        </is>
      </c>
    </row>
    <row r="3" ht="50" customHeight="1">
      <c r="A3" s="3" t="inlineStr">
        <is>
          <t>C01</t>
        </is>
      </c>
      <c r="B3" s="3" t="inlineStr">
        <is>
          <t>AST_C01</t>
        </is>
      </c>
      <c r="C3" s="4" t="inlineStr">
        <is>
          <t>GRP_002</t>
        </is>
      </c>
      <c r="D3" s="4" t="inlineStr">
        <is>
          <t>CORPORATE</t>
        </is>
      </c>
      <c r="E3" s="4" t="inlineStr">
        <is>
          <t>WORKING_CAPITAL</t>
        </is>
      </c>
      <c r="F3" s="4" t="inlineStr">
        <is>
          <t>J</t>
        </is>
      </c>
      <c r="G3" s="4" t="inlineStr">
        <is>
          <t>MORTGAGE</t>
        </is>
      </c>
      <c r="H3" s="4" t="n">
        <v>0</v>
      </c>
      <c r="I3" s="4" t="inlineStr">
        <is>
          <t>正常</t>
        </is>
      </c>
      <c r="J3" s="4" t="inlineStr">
        <is>
          <t>否</t>
        </is>
      </c>
      <c r="K3" s="4" t="inlineStr">
        <is>
          <t>CRR3</t>
        </is>
      </c>
      <c r="L3" s="4" t="inlineStr">
        <is>
          <t>CRR2</t>
        </is>
      </c>
      <c r="M3" s="4" t="inlineStr">
        <is>
          <t>2028-06-21</t>
        </is>
      </c>
      <c r="N3" s="4" t="n">
        <v>95000</v>
      </c>
      <c r="O3" s="4" t="n">
        <v>500</v>
      </c>
      <c r="P3" s="4" t="n">
        <v>200000</v>
      </c>
      <c r="Q3" s="4" t="n">
        <v>100000</v>
      </c>
      <c r="R3" s="4" t="inlineStr">
        <is>
          <t>ON_BS</t>
        </is>
      </c>
      <c r="S3" s="4" t="inlineStr"/>
      <c r="T3" s="4" t="n"/>
      <c r="U3" s="4" t="inlineStr">
        <is>
          <t>STAGE_1</t>
        </is>
      </c>
      <c r="V3" s="4" t="n">
        <v>365</v>
      </c>
      <c r="W3" s="4" t="inlineStr">
        <is>
          <t>正常类端到端全链路·STAGE1·MORTGAGE LGD=0.35</t>
        </is>
      </c>
      <c r="X3" s="4" t="inlineStr">
        <is>
          <t>PD=CRR3加权(0.024%×0.2+0.04%×0.6+0.072%×0.2)=0.0416%</t>
        </is>
      </c>
    </row>
    <row r="4" ht="50" customHeight="1">
      <c r="A4" s="3" t="inlineStr">
        <is>
          <t>C02</t>
        </is>
      </c>
      <c r="B4" s="3" t="inlineStr">
        <is>
          <t>AST_C02</t>
        </is>
      </c>
      <c r="C4" s="4" t="inlineStr">
        <is>
          <t>GRP_002</t>
        </is>
      </c>
      <c r="D4" s="4" t="inlineStr">
        <is>
          <t>CORPORATE</t>
        </is>
      </c>
      <c r="E4" s="4" t="inlineStr">
        <is>
          <t>FIXED_ASSET</t>
        </is>
      </c>
      <c r="F4" s="4" t="inlineStr">
        <is>
          <t>F</t>
        </is>
      </c>
      <c r="G4" s="4" t="inlineStr">
        <is>
          <t>GUARANTEE</t>
        </is>
      </c>
      <c r="H4" s="4" t="n">
        <v>45</v>
      </c>
      <c r="I4" s="4" t="inlineStr">
        <is>
          <t>关注</t>
        </is>
      </c>
      <c r="J4" s="4" t="inlineStr">
        <is>
          <t>否</t>
        </is>
      </c>
      <c r="K4" s="4" t="inlineStr">
        <is>
          <t>CRR5</t>
        </is>
      </c>
      <c r="L4" s="4" t="inlineStr">
        <is>
          <t>CRR4</t>
        </is>
      </c>
      <c r="M4" s="4" t="inlineStr">
        <is>
          <t>2028-12-31</t>
        </is>
      </c>
      <c r="N4" s="4" t="n">
        <v>480000</v>
      </c>
      <c r="O4" s="4" t="n">
        <v>2500</v>
      </c>
      <c r="P4" s="4" t="n">
        <v>600000</v>
      </c>
      <c r="Q4" s="4" t="n">
        <v>500000</v>
      </c>
      <c r="R4" s="4" t="inlineStr">
        <is>
          <t>ON_BS</t>
        </is>
      </c>
      <c r="S4" s="4" t="inlineStr"/>
      <c r="T4" s="4" t="n"/>
      <c r="U4" s="4" t="inlineStr">
        <is>
          <t>STAGE_1</t>
        </is>
      </c>
      <c r="V4" s="4" t="n">
        <v>200</v>
      </c>
      <c r="W4" s="4" t="inlineStr">
        <is>
          <t>逾期45天→STAGE2·存续期PD·GUARANTEE LGD=0.45</t>
        </is>
      </c>
      <c r="X4" s="4" t="inlineStr">
        <is>
          <t>PD=CRR5加权(0.096%×0.2+0.16%×0.6+0.288%×0.2)=0.1776%</t>
        </is>
      </c>
    </row>
    <row r="5" ht="50" customHeight="1">
      <c r="A5" s="3" t="inlineStr">
        <is>
          <t>C03</t>
        </is>
      </c>
      <c r="B5" s="3" t="inlineStr">
        <is>
          <t>AST_C03</t>
        </is>
      </c>
      <c r="C5" s="4" t="inlineStr">
        <is>
          <t>GRP_002</t>
        </is>
      </c>
      <c r="D5" s="4" t="inlineStr">
        <is>
          <t>CORPORATE</t>
        </is>
      </c>
      <c r="E5" s="4" t="inlineStr">
        <is>
          <t>WORKING_CAPITAL</t>
        </is>
      </c>
      <c r="F5" s="4" t="inlineStr">
        <is>
          <t>K</t>
        </is>
      </c>
      <c r="G5" s="4" t="inlineStr">
        <is>
          <t>CREDIT</t>
        </is>
      </c>
      <c r="H5" s="4" t="n">
        <v>365</v>
      </c>
      <c r="I5" s="4" t="inlineStr">
        <is>
          <t>损失</t>
        </is>
      </c>
      <c r="J5" s="4" t="inlineStr">
        <is>
          <t>是</t>
        </is>
      </c>
      <c r="K5" s="4" t="inlineStr">
        <is>
          <t>CRR8</t>
        </is>
      </c>
      <c r="L5" s="4" t="inlineStr">
        <is>
          <t>CRR7</t>
        </is>
      </c>
      <c r="M5" s="4" t="inlineStr">
        <is>
          <t>2026-12-31</t>
        </is>
      </c>
      <c r="N5" s="4" t="n">
        <v>1800000</v>
      </c>
      <c r="O5" s="4" t="n">
        <v>50000</v>
      </c>
      <c r="P5" s="4" t="n">
        <v>2000000</v>
      </c>
      <c r="Q5" s="4" t="n">
        <v>2000000</v>
      </c>
      <c r="R5" s="4" t="inlineStr">
        <is>
          <t>ON_BS</t>
        </is>
      </c>
      <c r="S5" s="4" t="inlineStr"/>
      <c r="T5" s="4" t="n"/>
      <c r="U5" s="4" t="inlineStr">
        <is>
          <t>STAGE_1</t>
        </is>
      </c>
      <c r="V5" s="4" t="n">
        <v>0</v>
      </c>
      <c r="W5" s="4" t="inlineStr">
        <is>
          <t>五级分类=损失+违约→STAGE3·PD=100%·CREDIT LGD=0.5501</t>
        </is>
      </c>
      <c r="X5" s="4" t="inlineStr">
        <is>
          <t>default_lgd=0.45可能覆盖？需验证优先顺序</t>
        </is>
      </c>
    </row>
    <row r="6" ht="50" customHeight="1">
      <c r="A6" s="3" t="inlineStr">
        <is>
          <t>C04</t>
        </is>
      </c>
      <c r="B6" s="3" t="inlineStr">
        <is>
          <t>AST_C04</t>
        </is>
      </c>
      <c r="C6" s="4" t="inlineStr">
        <is>
          <t>GRP_002</t>
        </is>
      </c>
      <c r="D6" s="4" t="inlineStr">
        <is>
          <t>CORPORATE</t>
        </is>
      </c>
      <c r="E6" s="4" t="inlineStr">
        <is>
          <t>LC</t>
        </is>
      </c>
      <c r="F6" s="4" t="inlineStr">
        <is>
          <t>G</t>
        </is>
      </c>
      <c r="G6" s="4" t="inlineStr">
        <is>
          <t>PLEDGE</t>
        </is>
      </c>
      <c r="H6" s="4" t="n">
        <v>0</v>
      </c>
      <c r="I6" s="4" t="inlineStr">
        <is>
          <t>正常</t>
        </is>
      </c>
      <c r="J6" s="4" t="inlineStr">
        <is>
          <t>否</t>
        </is>
      </c>
      <c r="K6" s="4" t="inlineStr">
        <is>
          <t>CRR2</t>
        </is>
      </c>
      <c r="L6" s="4" t="inlineStr">
        <is>
          <t>CRR1</t>
        </is>
      </c>
      <c r="M6" s="4" t="inlineStr">
        <is>
          <t>2027-06-30</t>
        </is>
      </c>
      <c r="N6" s="4" t="n">
        <v>0</v>
      </c>
      <c r="O6" s="4" t="n">
        <v>0</v>
      </c>
      <c r="P6" s="4" t="n">
        <v>300000</v>
      </c>
      <c r="Q6" s="4" t="n">
        <v>0</v>
      </c>
      <c r="R6" s="4" t="inlineStr">
        <is>
          <t>OFF_BS</t>
        </is>
      </c>
      <c r="S6" s="4" t="inlineStr">
        <is>
          <t>STANDBY_LC</t>
        </is>
      </c>
      <c r="T6" s="4" t="n"/>
      <c r="U6" s="4" t="inlineStr">
        <is>
          <t>STAGE_1</t>
        </is>
      </c>
      <c r="V6" s="4" t="n">
        <v>365</v>
      </c>
      <c r="W6" s="4" t="inlineStr">
        <is>
          <t>纯表外业务·CCF=0.5(LC/STANDBY_LC/≤365天)·PLEDGE LGD=0.4</t>
        </is>
      </c>
      <c r="X6" s="4" t="inlineStr">
        <is>
          <t>EAD=表外敞口×CCF=300K×0.5=150K</t>
        </is>
      </c>
    </row>
    <row r="7" ht="50" customHeight="1">
      <c r="A7" s="3" t="inlineStr">
        <is>
          <t>C05</t>
        </is>
      </c>
      <c r="B7" s="3" t="inlineStr">
        <is>
          <t>AST_C05</t>
        </is>
      </c>
      <c r="C7" s="4" t="inlineStr">
        <is>
          <t>GRP_003</t>
        </is>
      </c>
      <c r="D7" s="4" t="inlineStr">
        <is>
          <t>FINANCIAL</t>
        </is>
      </c>
      <c r="E7" s="4" t="inlineStr">
        <is>
          <t>WORKING_CAPITAL</t>
        </is>
      </c>
      <c r="F7" s="4" t="inlineStr">
        <is>
          <t>L</t>
        </is>
      </c>
      <c r="G7" s="4" t="inlineStr">
        <is>
          <t>MORTGAGE</t>
        </is>
      </c>
      <c r="H7" s="4" t="n">
        <v>0</v>
      </c>
      <c r="I7" s="4" t="inlineStr">
        <is>
          <t>正常</t>
        </is>
      </c>
      <c r="J7" s="4" t="inlineStr">
        <is>
          <t>否</t>
        </is>
      </c>
      <c r="K7" s="4" t="inlineStr">
        <is>
          <t>CRR3</t>
        </is>
      </c>
      <c r="L7" s="4" t="inlineStr">
        <is>
          <t>CRR2</t>
        </is>
      </c>
      <c r="M7" s="4" t="inlineStr">
        <is>
          <t>2029-06-30</t>
        </is>
      </c>
      <c r="N7" s="4" t="n">
        <v>300000</v>
      </c>
      <c r="O7" s="4" t="n">
        <v>1000</v>
      </c>
      <c r="P7" s="4" t="n">
        <v>500000</v>
      </c>
      <c r="Q7" s="4" t="n">
        <v>350000</v>
      </c>
      <c r="R7" s="4" t="inlineStr">
        <is>
          <t>ON_BS</t>
        </is>
      </c>
      <c r="S7" s="4" t="inlineStr"/>
      <c r="T7" s="4" t="n"/>
      <c r="U7" s="4" t="inlineStr">
        <is>
          <t>STAGE_1</t>
        </is>
      </c>
      <c r="V7" s="4" t="n">
        <v>300</v>
      </c>
      <c r="W7" s="4" t="inlineStr">
        <is>
          <t>银行同业(FINANCIAL)·MORTGAGE LGD=0.30·STAGE1 PD12M</t>
        </is>
      </c>
      <c r="X7" s="4" t="inlineStr">
        <is>
          <t>同业LGD更低保本</t>
        </is>
      </c>
    </row>
    <row r="8" ht="50" customHeight="1">
      <c r="A8" s="3" t="inlineStr">
        <is>
          <t>C06</t>
        </is>
      </c>
      <c r="B8" s="3" t="inlineStr">
        <is>
          <t>AST_C06</t>
        </is>
      </c>
      <c r="C8" s="4" t="inlineStr">
        <is>
          <t>GRP_003</t>
        </is>
      </c>
      <c r="D8" s="4" t="inlineStr">
        <is>
          <t>FINANCIAL</t>
        </is>
      </c>
      <c r="E8" s="4" t="inlineStr">
        <is>
          <t>FIXED_ASSET</t>
        </is>
      </c>
      <c r="F8" s="4" t="inlineStr">
        <is>
          <t>C</t>
        </is>
      </c>
      <c r="G8" s="4" t="inlineStr">
        <is>
          <t>CREDIT</t>
        </is>
      </c>
      <c r="H8" s="4" t="n">
        <v>60</v>
      </c>
      <c r="I8" s="4" t="inlineStr">
        <is>
          <t>关注</t>
        </is>
      </c>
      <c r="J8" s="4" t="inlineStr">
        <is>
          <t>否</t>
        </is>
      </c>
      <c r="K8" s="4" t="inlineStr">
        <is>
          <t>CRR5</t>
        </is>
      </c>
      <c r="L8" s="4" t="inlineStr">
        <is>
          <t>CRR4</t>
        </is>
      </c>
      <c r="M8" s="4" t="inlineStr">
        <is>
          <t>2027-10-31</t>
        </is>
      </c>
      <c r="N8" s="4" t="n">
        <v>85000</v>
      </c>
      <c r="O8" s="4" t="n">
        <v>1500</v>
      </c>
      <c r="P8" s="4" t="n">
        <v>120000</v>
      </c>
      <c r="Q8" s="4" t="n">
        <v>100000</v>
      </c>
      <c r="R8" s="4" t="inlineStr">
        <is>
          <t>ON_BS</t>
        </is>
      </c>
      <c r="S8" s="4" t="inlineStr"/>
      <c r="T8" s="4" t="n"/>
      <c r="U8" s="4" t="inlineStr">
        <is>
          <t>STAGE_1</t>
        </is>
      </c>
      <c r="V8" s="4" t="n">
        <v>90</v>
      </c>
      <c r="W8" s="4" t="inlineStr">
        <is>
          <t>同业逾期60天→STAGE2·CREDIT LGD=0.45·关注类触发</t>
        </is>
      </c>
      <c r="X8" s="4" t="inlineStr">
        <is>
          <t>与对公C02形成同业对比</t>
        </is>
      </c>
    </row>
  </sheetData>
  <mergeCells count="1">
    <mergeCell ref="A1:X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22" customWidth="1" min="8" max="8"/>
    <col width="18" customWidth="1" min="9" max="9"/>
    <col width="18" customWidth="1" min="10" max="10"/>
    <col width="16" customWidth="1" min="11" max="11"/>
    <col width="16" customWidth="1" min="12" max="12"/>
    <col width="52" customWidth="1" min="13" max="13"/>
    <col width="14" customWidth="1" min="14" max="14"/>
    <col width="14" customWidth="1" min="15" max="15"/>
    <col width="14" customWidth="1" min="16" max="16"/>
    <col width="16" customWidth="1" min="17" max="17"/>
    <col width="14" customWidth="1" min="18" max="18"/>
    <col width="16" customWidth="1" min="19" max="19"/>
    <col width="14" customWidth="1" min="20" max="20"/>
    <col width="16" customWidth="1" min="21" max="21"/>
    <col width="30" customWidth="1" min="22" max="22"/>
  </cols>
  <sheetData>
    <row r="1">
      <c r="A1" s="1" t="inlineStr">
        <is>
          <t>SCH_005 试算预期结果 vs 实际结果（2026-07-08 执行）</t>
        </is>
      </c>
    </row>
    <row r="2">
      <c r="A2" s="2" t="inlineStr">
        <is>
          <t>案例</t>
        </is>
      </c>
      <c r="B2" s="2" t="inlineStr">
        <is>
          <t>借据ID</t>
        </is>
      </c>
      <c r="C2" s="2" t="inlineStr">
        <is>
          <t>预期分组</t>
        </is>
      </c>
      <c r="D2" s="2" t="inlineStr">
        <is>
          <t>预期阶段</t>
        </is>
      </c>
      <c r="E2" s="2" t="inlineStr">
        <is>
          <t>预估PD12M</t>
        </is>
      </c>
      <c r="F2" s="2" t="inlineStr">
        <is>
          <t>预估PD存续期</t>
        </is>
      </c>
      <c r="G2" s="2" t="inlineStr">
        <is>
          <t>预估EAD(¥)</t>
        </is>
      </c>
      <c r="H2" s="2" t="inlineStr">
        <is>
          <t>预估LGD</t>
        </is>
      </c>
      <c r="I2" s="2" t="inlineStr">
        <is>
          <t>预估ECL(¥)</t>
        </is>
      </c>
      <c r="J2" s="2" t="inlineStr">
        <is>
          <t>叠加方式</t>
        </is>
      </c>
      <c r="K2" s="2" t="inlineStr">
        <is>
          <t>叠加调整(¥)</t>
        </is>
      </c>
      <c r="L2" s="2" t="inlineStr">
        <is>
          <t>ECL最终(¥)</t>
        </is>
      </c>
      <c r="M2" s="2" t="inlineStr">
        <is>
          <t>说明</t>
        </is>
      </c>
      <c r="N2" s="6" t="inlineStr">
        <is>
          <t>实际阶段</t>
        </is>
      </c>
      <c r="O2" s="6" t="inlineStr">
        <is>
          <t>实际PD12M</t>
        </is>
      </c>
      <c r="P2" s="6" t="inlineStr">
        <is>
          <t>实际PD存续期</t>
        </is>
      </c>
      <c r="Q2" s="6" t="inlineStr">
        <is>
          <t>实际EAD</t>
        </is>
      </c>
      <c r="R2" s="6" t="inlineStr">
        <is>
          <t>实际LGD</t>
        </is>
      </c>
      <c r="S2" s="6" t="inlineStr">
        <is>
          <t>实际ECL</t>
        </is>
      </c>
      <c r="T2" s="6" t="inlineStr">
        <is>
          <t>实际叠加</t>
        </is>
      </c>
      <c r="U2" s="6" t="inlineStr">
        <is>
          <t>实际ECL最终</t>
        </is>
      </c>
      <c r="V2" s="6" t="inlineStr">
        <is>
          <t>异常信息</t>
        </is>
      </c>
    </row>
    <row r="3" ht="60" customHeight="1">
      <c r="A3" s="7" t="inlineStr">
        <is>
          <t>C01</t>
        </is>
      </c>
      <c r="B3" s="7" t="inlineStr">
        <is>
          <t>AST_C01</t>
        </is>
      </c>
      <c r="C3" s="8" t="inlineStr">
        <is>
          <t>GRP_002(对公)</t>
        </is>
      </c>
      <c r="D3" s="8" t="inlineStr">
        <is>
          <t>STAGE_1</t>
        </is>
      </c>
      <c r="E3" s="8" t="inlineStr">
        <is>
          <t>0.0432%</t>
        </is>
      </c>
      <c r="F3" s="8">
        <f>PD12M</f>
        <v/>
      </c>
      <c r="G3" s="8" t="inlineStr">
        <is>
          <t>≈95,500</t>
        </is>
      </c>
      <c r="H3" s="9" t="inlineStr">
        <is>
          <t>35.00%(MORTGAGE)</t>
        </is>
      </c>
      <c r="I3" s="8" t="inlineStr">
        <is>
          <t>≈14</t>
        </is>
      </c>
      <c r="J3" s="8" t="inlineStr">
        <is>
          <t>无叠加(叠规则=0)</t>
        </is>
      </c>
      <c r="K3" s="8" t="inlineStr">
        <is>
          <t>¥0</t>
        </is>
      </c>
      <c r="L3" s="8" t="inlineStr">
        <is>
          <t>≈14</t>
        </is>
      </c>
      <c r="M3" s="8" t="inlineStr">
        <is>
          <t>正常STAGE1端到端·EAD=未偿+应计=95.5K·无叠加影响</t>
        </is>
      </c>
      <c r="N3" s="7" t="inlineStr">
        <is>
          <t>正常类</t>
        </is>
      </c>
      <c r="O3" s="7" t="inlineStr">
        <is>
          <t>0.0432%</t>
        </is>
      </c>
      <c r="P3" s="7" t="inlineStr">
        <is>
          <t>0.0432%</t>
        </is>
      </c>
      <c r="Q3" s="7" t="inlineStr">
        <is>
          <t>¥116,500.00</t>
        </is>
      </c>
      <c r="R3" s="10" t="inlineStr">
        <is>
          <t>45.0000%</t>
        </is>
      </c>
      <c r="S3" s="7" t="inlineStr">
        <is>
          <t>¥22.65</t>
        </is>
      </c>
      <c r="T3" s="7" t="inlineStr">
        <is>
          <t>¥0.00</t>
        </is>
      </c>
      <c r="U3" s="7" t="inlineStr">
        <is>
          <t>¥22.65</t>
        </is>
      </c>
      <c r="V3" s="8" t="inlineStr">
        <is>
          <t>LGD:WARN(引擎未查到LGD曲线匹配)</t>
        </is>
      </c>
    </row>
    <row r="4" ht="60" customHeight="1">
      <c r="A4" s="7" t="inlineStr">
        <is>
          <t>C02</t>
        </is>
      </c>
      <c r="B4" s="7" t="inlineStr">
        <is>
          <t>AST_C02</t>
        </is>
      </c>
      <c r="C4" s="8" t="inlineStr">
        <is>
          <t>GRP_002(对公)</t>
        </is>
      </c>
      <c r="D4" s="8" t="inlineStr">
        <is>
          <t>STAGE_2</t>
        </is>
      </c>
      <c r="E4" s="8" t="inlineStr">
        <is>
          <t>0.1728%</t>
        </is>
      </c>
      <c r="F4" s="8" t="inlineStr">
        <is>
          <t>≈0.26%(2.5年存续期)</t>
        </is>
      </c>
      <c r="G4" s="8" t="inlineStr">
        <is>
          <t>≈482,500</t>
        </is>
      </c>
      <c r="H4" s="8" t="inlineStr">
        <is>
          <t>45.00%(GUARANTEE)</t>
        </is>
      </c>
      <c r="I4" s="8" t="inlineStr">
        <is>
          <t>≈565</t>
        </is>
      </c>
      <c r="J4" s="8" t="inlineStr">
        <is>
          <t>无叠加</t>
        </is>
      </c>
      <c r="K4" s="8" t="inlineStr">
        <is>
          <t>¥0</t>
        </is>
      </c>
      <c r="L4" s="8" t="inlineStr">
        <is>
          <t>≈565</t>
        </is>
      </c>
      <c r="M4" s="8" t="inlineStr">
        <is>
          <t>逾期45天+关注→STAGE2·存续期PD放大·无叠加</t>
        </is>
      </c>
      <c r="N4" s="7" t="inlineStr">
        <is>
          <t>关注类</t>
        </is>
      </c>
      <c r="O4" s="7" t="inlineStr">
        <is>
          <t>0.1728%</t>
        </is>
      </c>
      <c r="P4" s="7" t="inlineStr">
        <is>
          <t>0.4170%</t>
        </is>
      </c>
      <c r="Q4" s="7" t="inlineStr">
        <is>
          <t>¥506,500.00</t>
        </is>
      </c>
      <c r="R4" s="7" t="inlineStr">
        <is>
          <t>45.0000%</t>
        </is>
      </c>
      <c r="S4" s="7" t="inlineStr">
        <is>
          <t>¥950.50</t>
        </is>
      </c>
      <c r="T4" s="7" t="inlineStr">
        <is>
          <t>¥0.00</t>
        </is>
      </c>
      <c r="U4" s="7" t="inlineStr">
        <is>
          <t>¥950.50</t>
        </is>
      </c>
      <c r="V4" s="8" t="inlineStr">
        <is>
          <t>LGD:WARN(引擎未查到LGD曲线匹配)</t>
        </is>
      </c>
    </row>
    <row r="5" ht="60" customHeight="1">
      <c r="A5" s="7" t="inlineStr">
        <is>
          <t>C03</t>
        </is>
      </c>
      <c r="B5" s="7" t="inlineStr">
        <is>
          <t>AST_C03</t>
        </is>
      </c>
      <c r="C5" s="8" t="inlineStr">
        <is>
          <t>GRP_DEFAULT</t>
        </is>
      </c>
      <c r="D5" s="8" t="inlineStr">
        <is>
          <t>STAGE_3</t>
        </is>
      </c>
      <c r="E5" s="8" t="inlineStr">
        <is>
          <t>-</t>
        </is>
      </c>
      <c r="F5" s="8" t="inlineStr">
        <is>
          <t>100%</t>
        </is>
      </c>
      <c r="G5" s="8" t="inlineStr">
        <is>
          <t>≈1,850,000</t>
        </is>
      </c>
      <c r="H5" s="8" t="inlineStr">
        <is>
          <t>45.00%(default_lgd)</t>
        </is>
      </c>
      <c r="I5" s="8" t="inlineStr">
        <is>
          <t>≈832,500</t>
        </is>
      </c>
      <c r="J5" s="8" t="inlineStr">
        <is>
          <t>无叠加</t>
        </is>
      </c>
      <c r="K5" s="8" t="inlineStr">
        <is>
          <t>¥0</t>
        </is>
      </c>
      <c r="L5" s="8" t="inlineStr">
        <is>
          <t>≈832,500</t>
        </is>
      </c>
      <c r="M5" s="8" t="inlineStr">
        <is>
          <t>STAGE3 PD=1.0·LGD走default_lgd=0.45·无叠加</t>
        </is>
      </c>
      <c r="N5" s="7" t="inlineStr">
        <is>
          <t>损失类</t>
        </is>
      </c>
      <c r="O5" s="7" t="inlineStr">
        <is>
          <t>100.0000%</t>
        </is>
      </c>
      <c r="P5" s="7" t="inlineStr">
        <is>
          <t>100.0000%</t>
        </is>
      </c>
      <c r="Q5" s="7" t="inlineStr">
        <is>
          <t>¥1,890,000.00</t>
        </is>
      </c>
      <c r="R5" s="7" t="inlineStr">
        <is>
          <t>45.0000%</t>
        </is>
      </c>
      <c r="S5" s="7" t="inlineStr">
        <is>
          <t>¥850,500.00</t>
        </is>
      </c>
      <c r="T5" s="7" t="inlineStr">
        <is>
          <t>¥0.00</t>
        </is>
      </c>
      <c r="U5" s="7" t="inlineStr">
        <is>
          <t>¥850,500.00</t>
        </is>
      </c>
      <c r="V5" s="8" t="inlineStr">
        <is>
          <t>LGD:WARN(引擎未查到LGD曲线匹配)</t>
        </is>
      </c>
    </row>
    <row r="6" ht="60" customHeight="1">
      <c r="A6" s="7" t="inlineStr">
        <is>
          <t>C04</t>
        </is>
      </c>
      <c r="B6" s="7" t="inlineStr">
        <is>
          <t>AST_C04</t>
        </is>
      </c>
      <c r="C6" s="8" t="inlineStr">
        <is>
          <t>GRP_002(对公)</t>
        </is>
      </c>
      <c r="D6" s="8" t="inlineStr">
        <is>
          <t>STAGE_1</t>
        </is>
      </c>
      <c r="E6" s="8" t="inlineStr">
        <is>
          <t>0.0216%</t>
        </is>
      </c>
      <c r="F6" s="8">
        <f>PD12M</f>
        <v/>
      </c>
      <c r="G6" s="8" t="inlineStr">
        <is>
          <t>≈150,000</t>
        </is>
      </c>
      <c r="H6" s="9" t="inlineStr">
        <is>
          <t>40.00%(PLEDGE)</t>
        </is>
      </c>
      <c r="I6" s="8" t="inlineStr">
        <is>
          <t>≈13</t>
        </is>
      </c>
      <c r="J6" s="8" t="inlineStr">
        <is>
          <t>无叠加</t>
        </is>
      </c>
      <c r="K6" s="8" t="inlineStr">
        <is>
          <t>¥0</t>
        </is>
      </c>
      <c r="L6" s="8" t="inlineStr">
        <is>
          <t>≈13</t>
        </is>
      </c>
      <c r="M6" s="8" t="inlineStr">
        <is>
          <t>纯表外·EAD=未提300K×CCF0.5=150K·PLEDGE LGD=0.4</t>
        </is>
      </c>
      <c r="N6" s="7" t="inlineStr">
        <is>
          <t>正常类</t>
        </is>
      </c>
      <c r="O6" s="7" t="inlineStr">
        <is>
          <t>0.0216%</t>
        </is>
      </c>
      <c r="P6" s="7" t="inlineStr">
        <is>
          <t>0.0216%</t>
        </is>
      </c>
      <c r="Q6" s="7" t="inlineStr">
        <is>
          <t>¥60,000.00</t>
        </is>
      </c>
      <c r="R6" s="10" t="inlineStr">
        <is>
          <t>45.0000%</t>
        </is>
      </c>
      <c r="S6" s="7" t="inlineStr">
        <is>
          <t>¥5.83</t>
        </is>
      </c>
      <c r="T6" s="7" t="inlineStr">
        <is>
          <t>¥0.00</t>
        </is>
      </c>
      <c r="U6" s="7" t="inlineStr">
        <is>
          <t>¥5.83</t>
        </is>
      </c>
      <c r="V6" s="8" t="inlineStr">
        <is>
          <t>LGD:WARN(引擎未查到LGD曲线匹配)</t>
        </is>
      </c>
    </row>
    <row r="7" ht="60" customHeight="1">
      <c r="A7" s="7" t="inlineStr">
        <is>
          <t>C05</t>
        </is>
      </c>
      <c r="B7" s="7" t="inlineStr">
        <is>
          <t>AST_C05</t>
        </is>
      </c>
      <c r="C7" s="8" t="inlineStr">
        <is>
          <t>GRP_003(同业)</t>
        </is>
      </c>
      <c r="D7" s="8" t="inlineStr">
        <is>
          <t>STAGE_1</t>
        </is>
      </c>
      <c r="E7" s="8" t="inlineStr">
        <is>
          <t>0.0432%</t>
        </is>
      </c>
      <c r="F7" s="8">
        <f>PD12M</f>
        <v/>
      </c>
      <c r="G7" s="8" t="inlineStr">
        <is>
          <t>≈301,000</t>
        </is>
      </c>
      <c r="H7" s="9" t="inlineStr">
        <is>
          <t>30.00%(MORTGAGE)</t>
        </is>
      </c>
      <c r="I7" s="8" t="inlineStr">
        <is>
          <t>≈39</t>
        </is>
      </c>
      <c r="J7" s="8" t="inlineStr">
        <is>
          <t>无叠加</t>
        </is>
      </c>
      <c r="K7" s="8" t="inlineStr">
        <is>
          <t>¥0</t>
        </is>
      </c>
      <c r="L7" s="8" t="inlineStr">
        <is>
          <t>≈39</t>
        </is>
      </c>
      <c r="M7" s="8" t="inlineStr">
        <is>
          <t>银行同业正常STAGE1·MORTGAGE LGD=0.30·无叠加</t>
        </is>
      </c>
      <c r="N7" s="7" t="inlineStr">
        <is>
          <t>正常类</t>
        </is>
      </c>
      <c r="O7" s="7" t="inlineStr">
        <is>
          <t>0.0432%</t>
        </is>
      </c>
      <c r="P7" s="7" t="inlineStr">
        <is>
          <t>0.0432%</t>
        </is>
      </c>
      <c r="Q7" s="7" t="inlineStr">
        <is>
          <t>¥341,000.00</t>
        </is>
      </c>
      <c r="R7" s="10" t="inlineStr">
        <is>
          <t>45.0000%</t>
        </is>
      </c>
      <c r="S7" s="7" t="inlineStr">
        <is>
          <t>¥66.29</t>
        </is>
      </c>
      <c r="T7" s="7" t="inlineStr">
        <is>
          <t>¥0.00</t>
        </is>
      </c>
      <c r="U7" s="7" t="inlineStr">
        <is>
          <t>¥66.29</t>
        </is>
      </c>
      <c r="V7" s="8" t="inlineStr">
        <is>
          <t>LGD:WARN(引擎未查到LGD曲线匹配)</t>
        </is>
      </c>
    </row>
    <row r="8" ht="60" customHeight="1">
      <c r="A8" s="7" t="inlineStr">
        <is>
          <t>C06</t>
        </is>
      </c>
      <c r="B8" s="7" t="inlineStr">
        <is>
          <t>AST_C06</t>
        </is>
      </c>
      <c r="C8" s="8" t="inlineStr">
        <is>
          <t>GRP_003(同业)</t>
        </is>
      </c>
      <c r="D8" s="8" t="inlineStr">
        <is>
          <t>STAGE_2</t>
        </is>
      </c>
      <c r="E8" s="8" t="inlineStr">
        <is>
          <t>0.1728%</t>
        </is>
      </c>
      <c r="F8" s="8" t="inlineStr">
        <is>
          <t>≈0.26%(≈2年存续期)</t>
        </is>
      </c>
      <c r="G8" s="8" t="inlineStr">
        <is>
          <t>≈86,500</t>
        </is>
      </c>
      <c r="H8" s="8" t="inlineStr">
        <is>
          <t>45.00%(CREDIT)</t>
        </is>
      </c>
      <c r="I8" s="8" t="inlineStr">
        <is>
          <t>≈101</t>
        </is>
      </c>
      <c r="J8" s="8" t="inlineStr">
        <is>
          <t>无叠加</t>
        </is>
      </c>
      <c r="K8" s="8" t="inlineStr">
        <is>
          <t>¥0</t>
        </is>
      </c>
      <c r="L8" s="8" t="inlineStr">
        <is>
          <t>≈101</t>
        </is>
      </c>
      <c r="M8" s="8" t="inlineStr">
        <is>
          <t>同业逾期60天+关注→STAGE2·CREDIT LGD=0.45</t>
        </is>
      </c>
      <c r="N8" s="7" t="inlineStr">
        <is>
          <t>关注类</t>
        </is>
      </c>
      <c r="O8" s="7" t="inlineStr">
        <is>
          <t>0.1728%</t>
        </is>
      </c>
      <c r="P8" s="7" t="inlineStr">
        <is>
          <t>0.2159%</t>
        </is>
      </c>
      <c r="Q8" s="7" t="inlineStr">
        <is>
          <t>¥93,500.00</t>
        </is>
      </c>
      <c r="R8" s="7" t="inlineStr">
        <is>
          <t>45.0000%</t>
        </is>
      </c>
      <c r="S8" s="7" t="inlineStr">
        <is>
          <t>¥90.86</t>
        </is>
      </c>
      <c r="T8" s="7" t="inlineStr">
        <is>
          <t>¥0.00</t>
        </is>
      </c>
      <c r="U8" s="7" t="inlineStr">
        <is>
          <t>¥90.86</t>
        </is>
      </c>
      <c r="V8" s="8" t="inlineStr">
        <is>
          <t>LGD:WARN(引擎未查到LGD曲线匹配)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2026-07-08T05:47:53Z</dcterms:created>
  <dcterms:modified xmlns:dcterms="http://purl.org/dc/terms/" xmlns:xsi="http://www.w3.org/2001/XMLSchema-instance" xsi:type="dcterms:W3CDTF">2026-07-08T06:13:16Z</dcterms:modified>
</cp:coreProperties>
</file>